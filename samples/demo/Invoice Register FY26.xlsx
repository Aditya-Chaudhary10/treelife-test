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djustmen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3" customWidth="1" min="3" max="3"/>
    <col width="14" customWidth="1" min="4" max="4"/>
    <col width="9" customWidth="1" min="5" max="5"/>
    <col width="13" customWidth="1" min="6" max="6"/>
    <col width="13" customWidth="1" min="7" max="7"/>
    <col width="10" customWidth="1" min="8" max="8"/>
    <col width="11" customWidth="1" min="9" max="9"/>
    <col width="12" customWidth="1" min="10" max="10"/>
  </cols>
  <sheetData>
    <row r="1">
      <c r="A1" t="inlineStr">
        <is>
          <t>Invoice No</t>
        </is>
      </c>
      <c r="B1" t="inlineStr">
        <is>
          <t>Vendor</t>
        </is>
      </c>
      <c r="C1" t="inlineStr">
        <is>
          <t>Invoice Date</t>
        </is>
      </c>
      <c r="D1" t="inlineStr">
        <is>
          <t>Amount (INR)</t>
        </is>
      </c>
      <c r="E1" t="inlineStr">
        <is>
          <t>Terms</t>
        </is>
      </c>
      <c r="F1" t="inlineStr">
        <is>
          <t>Due Date</t>
        </is>
      </c>
      <c r="G1" t="inlineStr">
        <is>
          <t>Paid Date</t>
        </is>
      </c>
      <c r="H1" t="inlineStr">
        <is>
          <t>Status</t>
        </is>
      </c>
      <c r="I1" t="inlineStr">
        <is>
          <t>PO Number</t>
        </is>
      </c>
      <c r="J1" t="inlineStr">
        <is>
          <t>Days To Pay</t>
        </is>
      </c>
    </row>
    <row r="2">
      <c r="A2" t="inlineStr">
        <is>
          <t>QA-2025-01</t>
        </is>
      </c>
      <c r="B2" t="inlineStr">
        <is>
          <t>Quartz Analytics</t>
        </is>
      </c>
      <c r="C2" s="1" t="n">
        <v>45931</v>
      </c>
      <c r="D2" t="n">
        <v>60000</v>
      </c>
      <c r="E2" t="inlineStr">
        <is>
          <t>Net 30</t>
        </is>
      </c>
      <c r="F2" s="1" t="n">
        <v>45961</v>
      </c>
      <c r="G2" s="1" t="n">
        <v>45962</v>
      </c>
      <c r="H2" t="inlineStr">
        <is>
          <t>Paid</t>
        </is>
      </c>
      <c r="I2" t="inlineStr">
        <is>
          <t>PO-4100</t>
        </is>
      </c>
      <c r="J2">
        <f>IF(G2="","",G2-C2)</f>
        <v/>
      </c>
    </row>
    <row r="3">
      <c r="A3" t="inlineStr">
        <is>
          <t>CL-2025-01</t>
        </is>
      </c>
      <c r="B3" t="inlineStr">
        <is>
          <t>Cedar Logistics</t>
        </is>
      </c>
      <c r="C3" s="1" t="n">
        <v>45932</v>
      </c>
      <c r="D3" t="n">
        <v>40000</v>
      </c>
      <c r="E3" t="inlineStr">
        <is>
          <t>Net 30</t>
        </is>
      </c>
      <c r="F3" s="1" t="n">
        <v>45962</v>
      </c>
      <c r="G3" s="1" t="n">
        <v>45962</v>
      </c>
      <c r="H3" t="inlineStr">
        <is>
          <t>Paid</t>
        </is>
      </c>
      <c r="I3" t="inlineStr">
        <is>
          <t>PO-4107</t>
        </is>
      </c>
      <c r="J3">
        <f>IF(G3="","",G3-C3)</f>
        <v/>
      </c>
    </row>
    <row r="4">
      <c r="A4" t="inlineStr">
        <is>
          <t>FM-2025-01</t>
        </is>
      </c>
      <c r="B4" t="inlineStr">
        <is>
          <t>Falcon Media</t>
        </is>
      </c>
      <c r="C4" s="1" t="n">
        <v>45933</v>
      </c>
      <c r="D4" t="n">
        <v>80000</v>
      </c>
      <c r="E4" t="inlineStr">
        <is>
          <t>Net 30</t>
        </is>
      </c>
      <c r="F4" s="1" t="n">
        <v>45963</v>
      </c>
      <c r="G4" s="1" t="n">
        <v>45966</v>
      </c>
      <c r="H4" t="inlineStr">
        <is>
          <t>Paid</t>
        </is>
      </c>
      <c r="I4" t="inlineStr">
        <is>
          <t>PO-4114</t>
        </is>
      </c>
      <c r="J4">
        <f>IF(G4="","",G4-C4)</f>
        <v/>
      </c>
    </row>
    <row r="5">
      <c r="A5" t="inlineStr">
        <is>
          <t>KF-2025-01</t>
        </is>
      </c>
      <c r="B5" t="inlineStr">
        <is>
          <t>Kestrel Finance</t>
        </is>
      </c>
      <c r="C5" s="1" t="n">
        <v>45934</v>
      </c>
      <c r="D5" t="n">
        <v>70000</v>
      </c>
      <c r="E5" t="inlineStr">
        <is>
          <t>Net 30</t>
        </is>
      </c>
      <c r="F5" s="1" t="n">
        <v>45964</v>
      </c>
      <c r="G5" s="1" t="n">
        <v>45963</v>
      </c>
      <c r="H5" t="inlineStr">
        <is>
          <t>Paid</t>
        </is>
      </c>
      <c r="I5" t="inlineStr">
        <is>
          <t>PO-4121</t>
        </is>
      </c>
      <c r="J5">
        <f>IF(G5="","",G5-C5)</f>
        <v/>
      </c>
    </row>
    <row r="6">
      <c r="A6" t="inlineStr">
        <is>
          <t>GB-2025-01</t>
        </is>
      </c>
      <c r="B6" t="inlineStr">
        <is>
          <t>Granite Builders</t>
        </is>
      </c>
      <c r="C6" s="1" t="n">
        <v>45935</v>
      </c>
      <c r="D6" t="n">
        <v>50000</v>
      </c>
      <c r="E6" t="inlineStr">
        <is>
          <t>Net 30</t>
        </is>
      </c>
      <c r="F6" s="1" t="n">
        <v>45965</v>
      </c>
      <c r="G6" s="1" t="n">
        <v>45965</v>
      </c>
      <c r="H6" t="inlineStr">
        <is>
          <t>Paid</t>
        </is>
      </c>
      <c r="I6" t="inlineStr">
        <is>
          <t>PO-4128</t>
        </is>
      </c>
      <c r="J6">
        <f>IF(G6="","",G6-C6)</f>
        <v/>
      </c>
    </row>
    <row r="7">
      <c r="A7" t="inlineStr">
        <is>
          <t>OH-2025-01</t>
        </is>
      </c>
      <c r="B7" t="inlineStr">
        <is>
          <t>Orchid Hotels</t>
        </is>
      </c>
      <c r="C7" s="1" t="n">
        <v>45936</v>
      </c>
      <c r="D7" t="n">
        <v>30000</v>
      </c>
      <c r="E7" t="inlineStr">
        <is>
          <t>Net 30</t>
        </is>
      </c>
      <c r="F7" s="1" t="n">
        <v>45966</v>
      </c>
      <c r="G7" s="1" t="n">
        <v>45961</v>
      </c>
      <c r="H7" t="inlineStr">
        <is>
          <t>Paid</t>
        </is>
      </c>
      <c r="I7" t="inlineStr">
        <is>
          <t>PO-4135</t>
        </is>
      </c>
      <c r="J7">
        <f>IF(G7="","",G7-C7)</f>
        <v/>
      </c>
    </row>
    <row r="8">
      <c r="A8" t="inlineStr">
        <is>
          <t>LE-2025-01</t>
        </is>
      </c>
      <c r="B8" t="inlineStr">
        <is>
          <t>Lotus Education</t>
        </is>
      </c>
      <c r="C8" s="1" t="n">
        <v>45937</v>
      </c>
      <c r="D8" t="n">
        <v>39200</v>
      </c>
      <c r="E8" t="inlineStr">
        <is>
          <t>Net 30</t>
        </is>
      </c>
      <c r="F8" s="1" t="n">
        <v>45967</v>
      </c>
      <c r="G8" s="1" t="n">
        <v>45962</v>
      </c>
      <c r="H8" t="inlineStr">
        <is>
          <t>Paid</t>
        </is>
      </c>
      <c r="I8" t="inlineStr">
        <is>
          <t>PO-4142</t>
        </is>
      </c>
      <c r="J8">
        <f>IF(G8="","",G8-C8)</f>
        <v/>
      </c>
    </row>
    <row r="9">
      <c r="A9" t="inlineStr">
        <is>
          <t>ME-2025-01</t>
        </is>
      </c>
      <c r="B9" t="inlineStr">
        <is>
          <t>Meridian Energy</t>
        </is>
      </c>
      <c r="C9" s="1" t="n">
        <v>45938</v>
      </c>
      <c r="D9" t="n">
        <v>61500</v>
      </c>
      <c r="E9" t="inlineStr">
        <is>
          <t>Net 30</t>
        </is>
      </c>
      <c r="F9" s="1" t="n">
        <v>45968</v>
      </c>
      <c r="G9" s="1" t="n">
        <v>45966</v>
      </c>
      <c r="H9" t="inlineStr">
        <is>
          <t>Paid</t>
        </is>
      </c>
      <c r="I9" t="inlineStr">
        <is>
          <t>PO-4149</t>
        </is>
      </c>
      <c r="J9">
        <f>IF(G9="","",G9-C9)</f>
        <v/>
      </c>
    </row>
    <row r="10">
      <c r="A10" t="inlineStr">
        <is>
          <t>IT-2025-01</t>
        </is>
      </c>
      <c r="B10" t="inlineStr">
        <is>
          <t>Indigo Textiles</t>
        </is>
      </c>
      <c r="C10" s="1" t="n">
        <v>45939</v>
      </c>
      <c r="D10" t="n">
        <v>31500</v>
      </c>
      <c r="E10" t="inlineStr">
        <is>
          <t>Net 30</t>
        </is>
      </c>
      <c r="F10" s="1" t="n">
        <v>45969</v>
      </c>
      <c r="G10" s="1" t="n">
        <v>45969</v>
      </c>
      <c r="H10" t="inlineStr">
        <is>
          <t>Paid</t>
        </is>
      </c>
      <c r="I10" t="inlineStr">
        <is>
          <t>PO-4156</t>
        </is>
      </c>
      <c r="J10">
        <f>IF(G10="","",G10-C10)</f>
        <v/>
      </c>
    </row>
    <row r="11">
      <c r="A11" t="inlineStr">
        <is>
          <t>HT-2025-01</t>
        </is>
      </c>
      <c r="B11" t="inlineStr">
        <is>
          <t>Horizon Travel</t>
        </is>
      </c>
      <c r="C11" s="1" t="n">
        <v>45940</v>
      </c>
      <c r="D11" t="n">
        <v>50000</v>
      </c>
      <c r="E11" t="inlineStr">
        <is>
          <t>Net 30</t>
        </is>
      </c>
      <c r="F11" s="1" t="n">
        <v>45970</v>
      </c>
      <c r="G11" s="1" t="n">
        <v>45969</v>
      </c>
      <c r="H11" t="inlineStr">
        <is>
          <t>Paid</t>
        </is>
      </c>
      <c r="I11" t="inlineStr">
        <is>
          <t>PO-4163</t>
        </is>
      </c>
      <c r="J11">
        <f>IF(G11="","",G11-C11)</f>
        <v/>
      </c>
    </row>
    <row r="12">
      <c r="A12" t="inlineStr">
        <is>
          <t>JH-2025-01</t>
        </is>
      </c>
      <c r="B12" t="inlineStr">
        <is>
          <t>Juniper Health</t>
        </is>
      </c>
      <c r="C12" s="1" t="n">
        <v>45941</v>
      </c>
      <c r="D12" t="n">
        <v>70000</v>
      </c>
      <c r="E12" t="inlineStr">
        <is>
          <t>Net 30</t>
        </is>
      </c>
      <c r="F12" s="1" t="n">
        <v>45971</v>
      </c>
      <c r="G12" s="1" t="n"/>
      <c r="H12" t="inlineStr">
        <is>
          <t>Overdue</t>
        </is>
      </c>
      <c r="I12" t="inlineStr">
        <is>
          <t>PO-4170</t>
        </is>
      </c>
      <c r="J12">
        <f>IF(G12="","",G12-C12)</f>
        <v/>
      </c>
    </row>
    <row r="13">
      <c r="A13" t="inlineStr">
        <is>
          <t>SJ-2025-01</t>
        </is>
      </c>
      <c r="B13" t="inlineStr">
        <is>
          <t>Sapphire Jewels</t>
        </is>
      </c>
      <c r="C13" s="1" t="n">
        <v>45942</v>
      </c>
      <c r="D13" t="n">
        <v>31500</v>
      </c>
      <c r="E13" t="inlineStr">
        <is>
          <t>Net 30</t>
        </is>
      </c>
      <c r="F13" s="1" t="n">
        <v>45972</v>
      </c>
      <c r="G13" s="1" t="n">
        <v>45975</v>
      </c>
      <c r="H13" t="inlineStr">
        <is>
          <t>Paid</t>
        </is>
      </c>
      <c r="I13" t="inlineStr">
        <is>
          <t>PO-4177</t>
        </is>
      </c>
      <c r="J13">
        <f>IF(G13="","",G13-C13)</f>
        <v/>
      </c>
    </row>
    <row r="14">
      <c r="A14" t="inlineStr">
        <is>
          <t>QA-2025-02</t>
        </is>
      </c>
      <c r="B14" t="inlineStr">
        <is>
          <t>Quartz Analytics</t>
        </is>
      </c>
      <c r="C14" s="1" t="n">
        <v>45961</v>
      </c>
      <c r="D14" t="n">
        <v>60000</v>
      </c>
      <c r="E14" t="inlineStr">
        <is>
          <t>Net 30</t>
        </is>
      </c>
      <c r="F14" s="1" t="n">
        <v>45991</v>
      </c>
      <c r="G14" s="1" t="n">
        <v>45994</v>
      </c>
      <c r="H14" t="inlineStr">
        <is>
          <t>Paid</t>
        </is>
      </c>
      <c r="I14" t="inlineStr">
        <is>
          <t>PO-4100</t>
        </is>
      </c>
      <c r="J14">
        <f>IF(G14="","",G14-C14)</f>
        <v/>
      </c>
    </row>
    <row r="15">
      <c r="A15" t="inlineStr">
        <is>
          <t>CL-2025-02</t>
        </is>
      </c>
      <c r="B15" t="inlineStr">
        <is>
          <t>Cedar Logistics</t>
        </is>
      </c>
      <c r="C15" s="1" t="n">
        <v>45962</v>
      </c>
      <c r="D15" t="n">
        <v>41500</v>
      </c>
      <c r="E15" t="inlineStr">
        <is>
          <t>Net 30</t>
        </is>
      </c>
      <c r="F15" s="1" t="n">
        <v>45992</v>
      </c>
      <c r="G15" s="1" t="n">
        <v>45990</v>
      </c>
      <c r="H15" t="inlineStr">
        <is>
          <t>Paid</t>
        </is>
      </c>
      <c r="I15" t="inlineStr">
        <is>
          <t>PO-4107</t>
        </is>
      </c>
      <c r="J15">
        <f>IF(G15="","",G15-C15)</f>
        <v/>
      </c>
    </row>
    <row r="16">
      <c r="A16" t="inlineStr">
        <is>
          <t>FM-2025-02</t>
        </is>
      </c>
      <c r="B16" t="inlineStr">
        <is>
          <t>Falcon Media</t>
        </is>
      </c>
      <c r="C16" s="1" t="n">
        <v>45963</v>
      </c>
      <c r="D16" t="n">
        <v>80000</v>
      </c>
      <c r="E16" t="inlineStr">
        <is>
          <t>Net 30</t>
        </is>
      </c>
      <c r="F16" s="1" t="n">
        <v>45993</v>
      </c>
      <c r="G16" s="1" t="n">
        <v>45991</v>
      </c>
      <c r="H16" t="inlineStr">
        <is>
          <t>Paid</t>
        </is>
      </c>
      <c r="I16" t="inlineStr">
        <is>
          <t>PO-4114</t>
        </is>
      </c>
      <c r="J16">
        <f>IF(G16="","",G16-C16)</f>
        <v/>
      </c>
    </row>
    <row r="17">
      <c r="A17" t="inlineStr">
        <is>
          <t>KF-2025-02</t>
        </is>
      </c>
      <c r="B17" t="inlineStr">
        <is>
          <t>Kestrel Finance</t>
        </is>
      </c>
      <c r="C17" s="1" t="n">
        <v>45964</v>
      </c>
      <c r="D17" t="n">
        <v>71500</v>
      </c>
      <c r="E17" t="inlineStr">
        <is>
          <t>Net 30</t>
        </is>
      </c>
      <c r="F17" s="1" t="n">
        <v>45994</v>
      </c>
      <c r="G17" s="1" t="n">
        <v>45993</v>
      </c>
      <c r="H17" t="inlineStr">
        <is>
          <t>Paid</t>
        </is>
      </c>
      <c r="I17" t="inlineStr">
        <is>
          <t>PO-4121</t>
        </is>
      </c>
      <c r="J17">
        <f>IF(G17="","",G17-C17)</f>
        <v/>
      </c>
    </row>
    <row r="18">
      <c r="A18" t="inlineStr">
        <is>
          <t>GB-2025-02</t>
        </is>
      </c>
      <c r="B18" t="inlineStr">
        <is>
          <t>Granite Builders</t>
        </is>
      </c>
      <c r="C18" s="1" t="n">
        <v>45965</v>
      </c>
      <c r="D18" t="n">
        <v>50000</v>
      </c>
      <c r="E18" t="inlineStr">
        <is>
          <t>Net 30</t>
        </is>
      </c>
      <c r="F18" s="1" t="n">
        <v>45995</v>
      </c>
      <c r="G18" s="1" t="n">
        <v>45998</v>
      </c>
      <c r="H18" t="inlineStr">
        <is>
          <t>Paid</t>
        </is>
      </c>
      <c r="I18" t="inlineStr">
        <is>
          <t>PO-4128</t>
        </is>
      </c>
      <c r="J18">
        <f>IF(G18="","",G18-C18)</f>
        <v/>
      </c>
    </row>
    <row r="19">
      <c r="A19" t="inlineStr">
        <is>
          <t>OH-2025-02</t>
        </is>
      </c>
      <c r="B19" t="inlineStr">
        <is>
          <t>Orchid Hotels</t>
        </is>
      </c>
      <c r="C19" s="1" t="n">
        <v>45966</v>
      </c>
      <c r="D19" t="n">
        <v>29200</v>
      </c>
      <c r="E19" t="inlineStr">
        <is>
          <t>Net 30</t>
        </is>
      </c>
      <c r="F19" s="1" t="n">
        <v>45996</v>
      </c>
      <c r="G19" s="1" t="n">
        <v>45995</v>
      </c>
      <c r="H19" t="inlineStr">
        <is>
          <t>Paid</t>
        </is>
      </c>
      <c r="I19" t="inlineStr">
        <is>
          <t>PO-4135</t>
        </is>
      </c>
      <c r="J19">
        <f>IF(G19="","",G19-C19)</f>
        <v/>
      </c>
    </row>
    <row r="20">
      <c r="A20" t="inlineStr">
        <is>
          <t>LE-2025-02</t>
        </is>
      </c>
      <c r="B20" t="inlineStr">
        <is>
          <t>Lotus Education</t>
        </is>
      </c>
      <c r="C20" s="1" t="n">
        <v>45967</v>
      </c>
      <c r="D20" t="n">
        <v>41500</v>
      </c>
      <c r="E20" t="inlineStr">
        <is>
          <t>Net 30</t>
        </is>
      </c>
      <c r="F20" s="1" t="n">
        <v>45997</v>
      </c>
      <c r="G20" s="1" t="n">
        <v>45998</v>
      </c>
      <c r="H20" t="inlineStr">
        <is>
          <t>Paid</t>
        </is>
      </c>
      <c r="I20" t="inlineStr">
        <is>
          <t>PO-4142</t>
        </is>
      </c>
      <c r="J20">
        <f>IF(G20="","",G20-C20)</f>
        <v/>
      </c>
    </row>
    <row r="21">
      <c r="A21" t="inlineStr">
        <is>
          <t>ME-2025-02</t>
        </is>
      </c>
      <c r="B21" t="inlineStr">
        <is>
          <t>Meridian Energy</t>
        </is>
      </c>
      <c r="C21" s="1" t="n">
        <v>45968</v>
      </c>
      <c r="D21" t="n">
        <v>60000</v>
      </c>
      <c r="E21" t="inlineStr">
        <is>
          <t>Net 30</t>
        </is>
      </c>
      <c r="F21" s="1" t="n">
        <v>45998</v>
      </c>
      <c r="G21" s="1" t="n">
        <v>45993</v>
      </c>
      <c r="H21" t="inlineStr">
        <is>
          <t>Paid</t>
        </is>
      </c>
      <c r="I21" t="inlineStr">
        <is>
          <t>PO-4149</t>
        </is>
      </c>
      <c r="J21">
        <f>IF(G21="","",G21-C21)</f>
        <v/>
      </c>
    </row>
    <row r="22">
      <c r="A22" t="inlineStr">
        <is>
          <t>IT-2025-02</t>
        </is>
      </c>
      <c r="B22" t="inlineStr">
        <is>
          <t>Indigo Textiles</t>
        </is>
      </c>
      <c r="C22" s="1" t="n">
        <v>45969</v>
      </c>
      <c r="D22" t="n">
        <v>30000</v>
      </c>
      <c r="E22" t="inlineStr">
        <is>
          <t>Net 30</t>
        </is>
      </c>
      <c r="F22" s="1" t="n">
        <v>45999</v>
      </c>
      <c r="G22" s="1" t="n">
        <v>45997</v>
      </c>
      <c r="H22" t="inlineStr">
        <is>
          <t>Paid</t>
        </is>
      </c>
      <c r="I22" t="inlineStr">
        <is>
          <t>PO-4156</t>
        </is>
      </c>
      <c r="J22">
        <f>IF(G22="","",G22-C22)</f>
        <v/>
      </c>
    </row>
    <row r="23">
      <c r="A23" t="inlineStr">
        <is>
          <t>HT-2025-02</t>
        </is>
      </c>
      <c r="B23" t="inlineStr">
        <is>
          <t>Horizon Travel</t>
        </is>
      </c>
      <c r="C23" s="1" t="n">
        <v>45970</v>
      </c>
      <c r="D23" t="n">
        <v>49200</v>
      </c>
      <c r="E23" t="inlineStr">
        <is>
          <t>Net 30</t>
        </is>
      </c>
      <c r="F23" s="1" t="n">
        <v>46000</v>
      </c>
      <c r="G23" s="1" t="n"/>
      <c r="H23" t="inlineStr">
        <is>
          <t>Overdue</t>
        </is>
      </c>
      <c r="I23" t="inlineStr">
        <is>
          <t>PO-4163</t>
        </is>
      </c>
      <c r="J23">
        <f>IF(G23="","",G23-C23)</f>
        <v/>
      </c>
    </row>
    <row r="24">
      <c r="A24" t="inlineStr">
        <is>
          <t>JH-2025-02</t>
        </is>
      </c>
      <c r="B24" t="inlineStr">
        <is>
          <t>Juniper Health</t>
        </is>
      </c>
      <c r="C24" s="1" t="n">
        <v>45971</v>
      </c>
      <c r="D24" t="n">
        <v>70000</v>
      </c>
      <c r="E24" t="inlineStr">
        <is>
          <t>Net 30</t>
        </is>
      </c>
      <c r="F24" s="1" t="n">
        <v>46001</v>
      </c>
      <c r="G24" s="1" t="n">
        <v>46000</v>
      </c>
      <c r="H24" t="inlineStr">
        <is>
          <t>Paid</t>
        </is>
      </c>
      <c r="I24" t="inlineStr">
        <is>
          <t>PO-4170</t>
        </is>
      </c>
      <c r="J24">
        <f>IF(G24="","",G24-C24)</f>
        <v/>
      </c>
    </row>
    <row r="25">
      <c r="A25" t="inlineStr">
        <is>
          <t>SJ-2025-02</t>
        </is>
      </c>
      <c r="B25" t="inlineStr">
        <is>
          <t>Sapphire Jewels</t>
        </is>
      </c>
      <c r="C25" s="1" t="n">
        <v>45972</v>
      </c>
      <c r="D25" t="n">
        <v>29200</v>
      </c>
      <c r="E25" t="inlineStr">
        <is>
          <t>Net 30</t>
        </is>
      </c>
      <c r="F25" s="1" t="n">
        <v>46002</v>
      </c>
      <c r="G25" s="1" t="n">
        <v>46000</v>
      </c>
      <c r="H25" t="inlineStr">
        <is>
          <t>Paid</t>
        </is>
      </c>
      <c r="I25" t="inlineStr">
        <is>
          <t>PO-4177</t>
        </is>
      </c>
      <c r="J25">
        <f>IF(G25="","",G25-C25)</f>
        <v/>
      </c>
    </row>
    <row r="26">
      <c r="A26" t="inlineStr">
        <is>
          <t>QA-2025-03</t>
        </is>
      </c>
      <c r="B26" t="inlineStr">
        <is>
          <t>Quartz Analytics</t>
        </is>
      </c>
      <c r="C26" s="1" t="n">
        <v>45991</v>
      </c>
      <c r="D26" t="n">
        <v>59200</v>
      </c>
      <c r="E26" t="inlineStr">
        <is>
          <t>Net 30</t>
        </is>
      </c>
      <c r="F26" s="1" t="n">
        <v>46021</v>
      </c>
      <c r="G26" s="1" t="n">
        <v>46024</v>
      </c>
      <c r="H26" t="inlineStr">
        <is>
          <t>Paid</t>
        </is>
      </c>
      <c r="I26" t="inlineStr">
        <is>
          <t>PO-4100</t>
        </is>
      </c>
      <c r="J26">
        <f>IF(G26="","",G26-C26)</f>
        <v/>
      </c>
    </row>
    <row r="27">
      <c r="A27" t="inlineStr">
        <is>
          <t>CL-2025-03</t>
        </is>
      </c>
      <c r="B27" t="inlineStr">
        <is>
          <t>Cedar Logistics</t>
        </is>
      </c>
      <c r="C27" s="1" t="n">
        <v>45992</v>
      </c>
      <c r="D27" t="n">
        <v>40000</v>
      </c>
      <c r="E27" t="inlineStr">
        <is>
          <t>Net 30</t>
        </is>
      </c>
      <c r="F27" s="1" t="n">
        <v>46022</v>
      </c>
      <c r="G27" s="1" t="n">
        <v>46020</v>
      </c>
      <c r="H27" t="inlineStr">
        <is>
          <t>Paid</t>
        </is>
      </c>
      <c r="I27" t="inlineStr">
        <is>
          <t>PO-4107</t>
        </is>
      </c>
      <c r="J27">
        <f>IF(G27="","",G27-C27)</f>
        <v/>
      </c>
    </row>
    <row r="28">
      <c r="A28" t="inlineStr">
        <is>
          <t>FM-2025-03</t>
        </is>
      </c>
      <c r="B28" t="inlineStr">
        <is>
          <t>Falcon Media</t>
        </is>
      </c>
      <c r="C28" s="1" t="n">
        <v>45993</v>
      </c>
      <c r="D28" t="n">
        <v>80000</v>
      </c>
      <c r="E28" t="inlineStr">
        <is>
          <t>Net 30</t>
        </is>
      </c>
      <c r="F28" s="1" t="n">
        <v>46023</v>
      </c>
      <c r="G28" s="1" t="n">
        <v>46023</v>
      </c>
      <c r="H28" t="inlineStr">
        <is>
          <t>Paid</t>
        </is>
      </c>
      <c r="I28" t="inlineStr">
        <is>
          <t>PO-4114</t>
        </is>
      </c>
      <c r="J28">
        <f>IF(G28="","",G28-C28)</f>
        <v/>
      </c>
    </row>
    <row r="29">
      <c r="A29" t="inlineStr">
        <is>
          <t>KF-2025-03</t>
        </is>
      </c>
      <c r="B29" t="inlineStr">
        <is>
          <t>Kestrel Finance</t>
        </is>
      </c>
      <c r="C29" s="1" t="n">
        <v>45994</v>
      </c>
      <c r="D29" t="n">
        <v>70000</v>
      </c>
      <c r="E29" t="inlineStr">
        <is>
          <t>Net 30</t>
        </is>
      </c>
      <c r="F29" s="1" t="n">
        <v>46024</v>
      </c>
      <c r="G29" s="1" t="n">
        <v>46027</v>
      </c>
      <c r="H29" t="inlineStr">
        <is>
          <t>Paid</t>
        </is>
      </c>
      <c r="I29" t="inlineStr">
        <is>
          <t>PO-4121</t>
        </is>
      </c>
      <c r="J29">
        <f>IF(G29="","",G29-C29)</f>
        <v/>
      </c>
    </row>
    <row r="30">
      <c r="A30" t="inlineStr">
        <is>
          <t>GB-2025-03</t>
        </is>
      </c>
      <c r="B30" t="inlineStr">
        <is>
          <t>Granite Builders</t>
        </is>
      </c>
      <c r="C30" s="1" t="n">
        <v>45995</v>
      </c>
      <c r="D30" t="n">
        <v>50000</v>
      </c>
      <c r="E30" t="inlineStr">
        <is>
          <t>Net 30</t>
        </is>
      </c>
      <c r="F30" s="1" t="n">
        <v>46025</v>
      </c>
      <c r="G30" s="1" t="n">
        <v>46026</v>
      </c>
      <c r="H30" t="inlineStr">
        <is>
          <t>Paid</t>
        </is>
      </c>
      <c r="I30" t="inlineStr">
        <is>
          <t>PO-4128</t>
        </is>
      </c>
      <c r="J30">
        <f>IF(G30="","",G30-C30)</f>
        <v/>
      </c>
    </row>
    <row r="31">
      <c r="A31" t="inlineStr">
        <is>
          <t>OH-2025-03</t>
        </is>
      </c>
      <c r="B31" t="inlineStr">
        <is>
          <t>Orchid Hotels</t>
        </is>
      </c>
      <c r="C31" s="1" t="n">
        <v>45996</v>
      </c>
      <c r="D31" t="n">
        <v>30000</v>
      </c>
      <c r="E31" t="inlineStr">
        <is>
          <t>Net 30</t>
        </is>
      </c>
      <c r="F31" s="1" t="n">
        <v>46026</v>
      </c>
      <c r="G31" s="1" t="n">
        <v>46027</v>
      </c>
      <c r="H31" t="inlineStr">
        <is>
          <t>Paid</t>
        </is>
      </c>
      <c r="I31" t="inlineStr">
        <is>
          <t>PO-4135</t>
        </is>
      </c>
      <c r="J31">
        <f>IF(G31="","",G31-C31)</f>
        <v/>
      </c>
    </row>
    <row r="32">
      <c r="A32" t="inlineStr">
        <is>
          <t>LE-2025-03</t>
        </is>
      </c>
      <c r="B32" t="inlineStr">
        <is>
          <t>Lotus Education</t>
        </is>
      </c>
      <c r="C32" s="1" t="n">
        <v>45997</v>
      </c>
      <c r="D32" t="n">
        <v>40000</v>
      </c>
      <c r="E32" t="inlineStr">
        <is>
          <t>Net 30</t>
        </is>
      </c>
      <c r="F32" s="1" t="n">
        <v>46027</v>
      </c>
      <c r="G32" s="1" t="n">
        <v>46022</v>
      </c>
      <c r="H32" t="inlineStr">
        <is>
          <t>Paid</t>
        </is>
      </c>
      <c r="I32" t="inlineStr">
        <is>
          <t>PO-4142</t>
        </is>
      </c>
      <c r="J32">
        <f>IF(G32="","",G32-C32)</f>
        <v/>
      </c>
    </row>
    <row r="33">
      <c r="A33" t="inlineStr">
        <is>
          <t>ME-2025-03</t>
        </is>
      </c>
      <c r="B33" t="inlineStr">
        <is>
          <t>Meridian Energy</t>
        </is>
      </c>
      <c r="C33" s="1" t="n">
        <v>45998</v>
      </c>
      <c r="D33" t="n">
        <v>60000</v>
      </c>
      <c r="E33" t="inlineStr">
        <is>
          <t>Net 30</t>
        </is>
      </c>
      <c r="F33" s="1" t="n">
        <v>46028</v>
      </c>
      <c r="G33" s="1" t="n">
        <v>46028</v>
      </c>
      <c r="H33" t="inlineStr">
        <is>
          <t>Paid</t>
        </is>
      </c>
      <c r="I33" t="inlineStr">
        <is>
          <t>PO-4149</t>
        </is>
      </c>
      <c r="J33">
        <f>IF(G33="","",G33-C33)</f>
        <v/>
      </c>
    </row>
    <row r="34">
      <c r="A34" t="inlineStr">
        <is>
          <t>IT-2025-03</t>
        </is>
      </c>
      <c r="B34" t="inlineStr">
        <is>
          <t>Indigo Textiles</t>
        </is>
      </c>
      <c r="C34" s="1" t="n">
        <v>45999</v>
      </c>
      <c r="D34" t="n">
        <v>31500</v>
      </c>
      <c r="E34" t="inlineStr">
        <is>
          <t>Net 30</t>
        </is>
      </c>
      <c r="F34" s="1" t="n">
        <v>46029</v>
      </c>
      <c r="G34" s="1" t="n"/>
      <c r="H34" t="inlineStr">
        <is>
          <t>Overdue</t>
        </is>
      </c>
      <c r="I34" t="inlineStr">
        <is>
          <t>PO-4156</t>
        </is>
      </c>
      <c r="J34">
        <f>IF(G34="","",G34-C34)</f>
        <v/>
      </c>
    </row>
    <row r="35">
      <c r="A35" t="inlineStr">
        <is>
          <t>HT-2025-03</t>
        </is>
      </c>
      <c r="B35" t="inlineStr">
        <is>
          <t>Horizon Travel</t>
        </is>
      </c>
      <c r="C35" s="1" t="n">
        <v>46000</v>
      </c>
      <c r="D35" t="n">
        <v>50000</v>
      </c>
      <c r="E35" t="inlineStr">
        <is>
          <t>Net 30</t>
        </is>
      </c>
      <c r="F35" s="1" t="n">
        <v>46030</v>
      </c>
      <c r="G35" s="1" t="n">
        <v>46033</v>
      </c>
      <c r="H35" t="inlineStr">
        <is>
          <t>Paid</t>
        </is>
      </c>
      <c r="I35" t="inlineStr">
        <is>
          <t>PO-4163</t>
        </is>
      </c>
      <c r="J35">
        <f>IF(G35="","",G35-C35)</f>
        <v/>
      </c>
    </row>
    <row r="36">
      <c r="A36" t="inlineStr">
        <is>
          <t>JH-2025-03</t>
        </is>
      </c>
      <c r="B36" t="inlineStr">
        <is>
          <t>Juniper Health</t>
        </is>
      </c>
      <c r="C36" s="1" t="n">
        <v>46001</v>
      </c>
      <c r="D36" t="n">
        <v>70000</v>
      </c>
      <c r="E36" t="inlineStr">
        <is>
          <t>Net 30</t>
        </is>
      </c>
      <c r="F36" s="1" t="n">
        <v>46031</v>
      </c>
      <c r="G36" s="1" t="n">
        <v>46034</v>
      </c>
      <c r="H36" t="inlineStr">
        <is>
          <t>Paid</t>
        </is>
      </c>
      <c r="I36" t="inlineStr">
        <is>
          <t>PO-4170</t>
        </is>
      </c>
      <c r="J36">
        <f>IF(G36="","",G36-C36)</f>
        <v/>
      </c>
    </row>
    <row r="37">
      <c r="A37" t="inlineStr">
        <is>
          <t>SJ-2025-03</t>
        </is>
      </c>
      <c r="B37" t="inlineStr">
        <is>
          <t>Sapphire Jewels</t>
        </is>
      </c>
      <c r="C37" s="1" t="n">
        <v>46002</v>
      </c>
      <c r="D37" t="n">
        <v>29200</v>
      </c>
      <c r="E37" t="inlineStr">
        <is>
          <t>Net 30</t>
        </is>
      </c>
      <c r="F37" s="1" t="n">
        <v>46032</v>
      </c>
      <c r="G37" s="1" t="n">
        <v>46033</v>
      </c>
      <c r="H37" t="inlineStr">
        <is>
          <t>Paid</t>
        </is>
      </c>
      <c r="I37" t="inlineStr">
        <is>
          <t>PO-4177</t>
        </is>
      </c>
      <c r="J37">
        <f>IF(G37="","",G37-C37)</f>
        <v/>
      </c>
    </row>
    <row r="38">
      <c r="A38" t="inlineStr">
        <is>
          <t>QA-2025-04</t>
        </is>
      </c>
      <c r="B38" t="inlineStr">
        <is>
          <t>Quartz Analytics</t>
        </is>
      </c>
      <c r="C38" s="1" t="n">
        <v>46021</v>
      </c>
      <c r="D38" t="n">
        <v>61500</v>
      </c>
      <c r="E38" t="inlineStr">
        <is>
          <t>Net 30</t>
        </is>
      </c>
      <c r="F38" s="1" t="n">
        <v>46051</v>
      </c>
      <c r="G38" s="1" t="n">
        <v>46046</v>
      </c>
      <c r="H38" t="inlineStr">
        <is>
          <t>Paid</t>
        </is>
      </c>
      <c r="I38" t="inlineStr">
        <is>
          <t>PO-4100</t>
        </is>
      </c>
      <c r="J38">
        <f>IF(G38="","",G38-C38)</f>
        <v/>
      </c>
    </row>
    <row r="39">
      <c r="A39" t="inlineStr">
        <is>
          <t>CL-2025-04</t>
        </is>
      </c>
      <c r="B39" t="inlineStr">
        <is>
          <t>Cedar Logistics</t>
        </is>
      </c>
      <c r="C39" s="1" t="n">
        <v>46022</v>
      </c>
      <c r="D39" t="n">
        <v>39200</v>
      </c>
      <c r="E39" t="inlineStr">
        <is>
          <t>Net 30</t>
        </is>
      </c>
      <c r="F39" s="1" t="n">
        <v>46052</v>
      </c>
      <c r="G39" s="1" t="n">
        <v>46050</v>
      </c>
      <c r="H39" t="inlineStr">
        <is>
          <t>Paid</t>
        </is>
      </c>
      <c r="I39" t="inlineStr">
        <is>
          <t>PO-4107</t>
        </is>
      </c>
      <c r="J39">
        <f>IF(G39="","",G39-C39)</f>
        <v/>
      </c>
    </row>
    <row r="40">
      <c r="A40" t="inlineStr">
        <is>
          <t>FM-2026-04</t>
        </is>
      </c>
      <c r="B40" t="inlineStr">
        <is>
          <t>Falcon Media</t>
        </is>
      </c>
      <c r="C40" s="1" t="n">
        <v>46023</v>
      </c>
      <c r="D40" t="n">
        <v>80000</v>
      </c>
      <c r="E40" t="inlineStr">
        <is>
          <t>Net 30</t>
        </is>
      </c>
      <c r="F40" s="1" t="n">
        <v>46053</v>
      </c>
      <c r="G40" s="1" t="n">
        <v>46048</v>
      </c>
      <c r="H40" t="inlineStr">
        <is>
          <t>Paid</t>
        </is>
      </c>
      <c r="I40" t="inlineStr">
        <is>
          <t>PO-4114</t>
        </is>
      </c>
      <c r="J40">
        <f>IF(G40="","",G40-C40)</f>
        <v/>
      </c>
    </row>
    <row r="41">
      <c r="A41" t="inlineStr">
        <is>
          <t>KF-2026-04</t>
        </is>
      </c>
      <c r="B41" t="inlineStr">
        <is>
          <t>Kestrel Finance</t>
        </is>
      </c>
      <c r="C41" s="1" t="n">
        <v>46024</v>
      </c>
      <c r="D41" t="n">
        <v>71500</v>
      </c>
      <c r="E41" t="inlineStr">
        <is>
          <t>Net 30</t>
        </is>
      </c>
      <c r="F41" s="1" t="n">
        <v>46054</v>
      </c>
      <c r="G41" s="1" t="n">
        <v>46052</v>
      </c>
      <c r="H41" t="inlineStr">
        <is>
          <t>Paid</t>
        </is>
      </c>
      <c r="I41" t="inlineStr">
        <is>
          <t>PO-4121</t>
        </is>
      </c>
      <c r="J41">
        <f>IF(G41="","",G41-C41)</f>
        <v/>
      </c>
    </row>
    <row r="42">
      <c r="A42" t="inlineStr">
        <is>
          <t>GB-2026-04</t>
        </is>
      </c>
      <c r="B42" t="inlineStr">
        <is>
          <t>Granite Builders</t>
        </is>
      </c>
      <c r="C42" s="1" t="n">
        <v>46025</v>
      </c>
      <c r="D42" t="n">
        <v>50000</v>
      </c>
      <c r="E42" t="inlineStr">
        <is>
          <t>Net 30</t>
        </is>
      </c>
      <c r="F42" s="1" t="n">
        <v>46055</v>
      </c>
      <c r="G42" s="1" t="n">
        <v>46050</v>
      </c>
      <c r="H42" t="inlineStr">
        <is>
          <t>Paid</t>
        </is>
      </c>
      <c r="I42" t="inlineStr">
        <is>
          <t>PO-4128</t>
        </is>
      </c>
      <c r="J42">
        <f>IF(G42="","",G42-C42)</f>
        <v/>
      </c>
    </row>
    <row r="43">
      <c r="A43" t="inlineStr">
        <is>
          <t>OH-2026-04</t>
        </is>
      </c>
      <c r="B43" t="inlineStr">
        <is>
          <t>Orchid Hotels</t>
        </is>
      </c>
      <c r="C43" s="1" t="n">
        <v>46026</v>
      </c>
      <c r="D43" t="n">
        <v>30000</v>
      </c>
      <c r="E43" t="inlineStr">
        <is>
          <t>Net 30</t>
        </is>
      </c>
      <c r="F43" s="1" t="n">
        <v>46056</v>
      </c>
      <c r="G43" s="1" t="n">
        <v>46054</v>
      </c>
      <c r="H43" t="inlineStr">
        <is>
          <t>Paid</t>
        </is>
      </c>
      <c r="I43" t="inlineStr">
        <is>
          <t>PO-4135</t>
        </is>
      </c>
      <c r="J43">
        <f>IF(G43="","",G43-C43)</f>
        <v/>
      </c>
    </row>
    <row r="44">
      <c r="A44" t="inlineStr">
        <is>
          <t>LE-2026-04</t>
        </is>
      </c>
      <c r="B44" t="inlineStr">
        <is>
          <t>Lotus Education</t>
        </is>
      </c>
      <c r="C44" s="1" t="n">
        <v>46027</v>
      </c>
      <c r="D44" t="n">
        <v>39200</v>
      </c>
      <c r="E44" t="inlineStr">
        <is>
          <t>Net 30</t>
        </is>
      </c>
      <c r="F44" s="1" t="n">
        <v>46057</v>
      </c>
      <c r="G44" s="1" t="n">
        <v>46060</v>
      </c>
      <c r="H44" t="inlineStr">
        <is>
          <t>Paid</t>
        </is>
      </c>
      <c r="I44" t="inlineStr">
        <is>
          <t>PO-4142</t>
        </is>
      </c>
      <c r="J44">
        <f>IF(G44="","",G44-C44)</f>
        <v/>
      </c>
    </row>
    <row r="45">
      <c r="A45" t="inlineStr">
        <is>
          <t>ME-2026-04</t>
        </is>
      </c>
      <c r="B45" t="inlineStr">
        <is>
          <t>Meridian Energy</t>
        </is>
      </c>
      <c r="C45" s="1" t="n">
        <v>46028</v>
      </c>
      <c r="D45" t="n">
        <v>60000</v>
      </c>
      <c r="E45" t="inlineStr">
        <is>
          <t>Net 30</t>
        </is>
      </c>
      <c r="F45" s="1" t="n">
        <v>46058</v>
      </c>
      <c r="G45" s="1" t="n"/>
      <c r="H45" t="inlineStr">
        <is>
          <t>Overdue</t>
        </is>
      </c>
      <c r="I45" t="inlineStr">
        <is>
          <t>PO-4149</t>
        </is>
      </c>
      <c r="J45">
        <f>IF(G45="","",G45-C45)</f>
        <v/>
      </c>
    </row>
    <row r="46">
      <c r="A46" t="inlineStr">
        <is>
          <t>IT-2026-04</t>
        </is>
      </c>
      <c r="B46" t="inlineStr">
        <is>
          <t>Indigo Textiles</t>
        </is>
      </c>
      <c r="C46" s="1" t="n">
        <v>46029</v>
      </c>
      <c r="D46" t="n">
        <v>30000</v>
      </c>
      <c r="E46" t="inlineStr">
        <is>
          <t>Net 30</t>
        </is>
      </c>
      <c r="F46" s="1" t="n">
        <v>46059</v>
      </c>
      <c r="G46" s="1" t="n">
        <v>46060</v>
      </c>
      <c r="H46" t="inlineStr">
        <is>
          <t>Paid</t>
        </is>
      </c>
      <c r="I46" t="inlineStr">
        <is>
          <t>PO-4156</t>
        </is>
      </c>
      <c r="J46">
        <f>IF(G46="","",G46-C46)</f>
        <v/>
      </c>
    </row>
    <row r="47">
      <c r="A47" t="inlineStr">
        <is>
          <t>HT-2026-04</t>
        </is>
      </c>
      <c r="B47" t="inlineStr">
        <is>
          <t>Horizon Travel</t>
        </is>
      </c>
      <c r="C47" s="1" t="n">
        <v>46030</v>
      </c>
      <c r="D47" t="n">
        <v>50000</v>
      </c>
      <c r="E47" t="inlineStr">
        <is>
          <t>Net 30</t>
        </is>
      </c>
      <c r="F47" s="1" t="n">
        <v>46060</v>
      </c>
      <c r="G47" s="1" t="n">
        <v>46060</v>
      </c>
      <c r="H47" t="inlineStr">
        <is>
          <t>Paid</t>
        </is>
      </c>
      <c r="I47" t="inlineStr">
        <is>
          <t>PO-4163</t>
        </is>
      </c>
      <c r="J47">
        <f>IF(G47="","",G47-C47)</f>
        <v/>
      </c>
    </row>
    <row r="48">
      <c r="A48" t="inlineStr">
        <is>
          <t>JH-2026-04</t>
        </is>
      </c>
      <c r="B48" t="inlineStr">
        <is>
          <t>Juniper Health</t>
        </is>
      </c>
      <c r="C48" s="1" t="n">
        <v>46031</v>
      </c>
      <c r="D48" t="n">
        <v>71500</v>
      </c>
      <c r="E48" t="inlineStr">
        <is>
          <t>Net 30</t>
        </is>
      </c>
      <c r="F48" s="1" t="n">
        <v>46061</v>
      </c>
      <c r="G48" s="1" t="n">
        <v>46064</v>
      </c>
      <c r="H48" t="inlineStr">
        <is>
          <t>Paid</t>
        </is>
      </c>
      <c r="I48" t="inlineStr">
        <is>
          <t>PO-4170</t>
        </is>
      </c>
      <c r="J48">
        <f>IF(G48="","",G48-C48)</f>
        <v/>
      </c>
    </row>
    <row r="49">
      <c r="A49" t="inlineStr">
        <is>
          <t>SJ-2026-04</t>
        </is>
      </c>
      <c r="B49" t="inlineStr">
        <is>
          <t>Sapphire Jewels</t>
        </is>
      </c>
      <c r="C49" s="1" t="n">
        <v>46032</v>
      </c>
      <c r="D49" t="n">
        <v>31500</v>
      </c>
      <c r="E49" t="inlineStr">
        <is>
          <t>Net 30</t>
        </is>
      </c>
      <c r="F49" s="1" t="n">
        <v>46062</v>
      </c>
      <c r="G49" s="1" t="n">
        <v>46065</v>
      </c>
      <c r="H49" t="inlineStr">
        <is>
          <t>Paid</t>
        </is>
      </c>
      <c r="I49" t="inlineStr">
        <is>
          <t>PO-4177</t>
        </is>
      </c>
      <c r="J49">
        <f>IF(G49="","",G49-C49)</f>
        <v/>
      </c>
    </row>
    <row r="50">
      <c r="A50" t="inlineStr">
        <is>
          <t>QA-2026-05</t>
        </is>
      </c>
      <c r="B50" t="inlineStr">
        <is>
          <t>Quartz Analytics</t>
        </is>
      </c>
      <c r="C50" s="1" t="n">
        <v>46051</v>
      </c>
      <c r="D50" t="n">
        <v>60000</v>
      </c>
      <c r="E50" t="inlineStr">
        <is>
          <t>Net 30</t>
        </is>
      </c>
      <c r="F50" s="1" t="n">
        <v>46081</v>
      </c>
      <c r="G50" s="1" t="n">
        <v>46079</v>
      </c>
      <c r="H50" t="inlineStr">
        <is>
          <t>Paid</t>
        </is>
      </c>
      <c r="I50" t="inlineStr">
        <is>
          <t>PO-4100</t>
        </is>
      </c>
      <c r="J50">
        <f>IF(G50="","",G50-C50)</f>
        <v/>
      </c>
    </row>
    <row r="51">
      <c r="A51" t="inlineStr">
        <is>
          <t>CL-2026-05</t>
        </is>
      </c>
      <c r="B51" t="inlineStr">
        <is>
          <t>Cedar Logistics</t>
        </is>
      </c>
      <c r="C51" s="1" t="n">
        <v>46052</v>
      </c>
      <c r="D51" t="n">
        <v>41500</v>
      </c>
      <c r="E51" t="inlineStr">
        <is>
          <t>Net 30</t>
        </is>
      </c>
      <c r="F51" s="1" t="n">
        <v>46082</v>
      </c>
      <c r="G51" s="1" t="n">
        <v>46083</v>
      </c>
      <c r="H51" t="inlineStr">
        <is>
          <t>Paid</t>
        </is>
      </c>
      <c r="I51" t="inlineStr">
        <is>
          <t>PO-4107</t>
        </is>
      </c>
      <c r="J51">
        <f>IF(G51="","",G51-C51)</f>
        <v/>
      </c>
    </row>
    <row r="52">
      <c r="A52" t="inlineStr">
        <is>
          <t>FM-2026-05</t>
        </is>
      </c>
      <c r="B52" t="inlineStr">
        <is>
          <t>Falcon Media</t>
        </is>
      </c>
      <c r="C52" s="1" t="n">
        <v>46053</v>
      </c>
      <c r="D52" t="n">
        <v>80000</v>
      </c>
      <c r="E52" t="inlineStr">
        <is>
          <t>Net 30</t>
        </is>
      </c>
      <c r="F52" s="1" t="n">
        <v>46083</v>
      </c>
      <c r="G52" s="1" t="n">
        <v>46083</v>
      </c>
      <c r="H52" t="inlineStr">
        <is>
          <t>Paid</t>
        </is>
      </c>
      <c r="I52" t="inlineStr">
        <is>
          <t>PO-4114</t>
        </is>
      </c>
      <c r="J52">
        <f>IF(G52="","",G52-C52)</f>
        <v/>
      </c>
    </row>
    <row r="53">
      <c r="A53" t="inlineStr">
        <is>
          <t>KF-2026-05</t>
        </is>
      </c>
      <c r="B53" t="inlineStr">
        <is>
          <t>Kestrel Finance</t>
        </is>
      </c>
      <c r="C53" s="1" t="n">
        <v>46054</v>
      </c>
      <c r="D53" t="n">
        <v>70000</v>
      </c>
      <c r="E53" t="inlineStr">
        <is>
          <t>Net 30</t>
        </is>
      </c>
      <c r="F53" s="1" t="n">
        <v>46084</v>
      </c>
      <c r="G53" s="1" t="n">
        <v>46084</v>
      </c>
      <c r="H53" t="inlineStr">
        <is>
          <t>Paid</t>
        </is>
      </c>
      <c r="I53" t="inlineStr">
        <is>
          <t>PO-4121</t>
        </is>
      </c>
      <c r="J53">
        <f>IF(G53="","",G53-C53)</f>
        <v/>
      </c>
    </row>
    <row r="54">
      <c r="A54" t="inlineStr">
        <is>
          <t>GB-2026-05</t>
        </is>
      </c>
      <c r="B54" t="inlineStr">
        <is>
          <t>Granite Builders</t>
        </is>
      </c>
      <c r="C54" s="1" t="n">
        <v>46055</v>
      </c>
      <c r="D54" t="n">
        <v>50000</v>
      </c>
      <c r="E54" t="inlineStr">
        <is>
          <t>Net 30</t>
        </is>
      </c>
      <c r="F54" s="1" t="n">
        <v>46085</v>
      </c>
      <c r="G54" s="1" t="n">
        <v>46085</v>
      </c>
      <c r="H54" t="inlineStr">
        <is>
          <t>Paid</t>
        </is>
      </c>
      <c r="I54" t="inlineStr">
        <is>
          <t>PO-4128</t>
        </is>
      </c>
      <c r="J54">
        <f>IF(G54="","",G54-C54)</f>
        <v/>
      </c>
    </row>
    <row r="55">
      <c r="A55" t="inlineStr">
        <is>
          <t>OH-2026-05</t>
        </is>
      </c>
      <c r="B55" t="inlineStr">
        <is>
          <t>Orchid Hotels</t>
        </is>
      </c>
      <c r="C55" s="1" t="n">
        <v>46056</v>
      </c>
      <c r="D55" t="n">
        <v>29200</v>
      </c>
      <c r="E55" t="inlineStr">
        <is>
          <t>Net 30</t>
        </is>
      </c>
      <c r="F55" s="1" t="n">
        <v>46086</v>
      </c>
      <c r="G55" s="1" t="n">
        <v>46085</v>
      </c>
      <c r="H55" t="inlineStr">
        <is>
          <t>Paid</t>
        </is>
      </c>
      <c r="I55" t="inlineStr">
        <is>
          <t>PO-4135</t>
        </is>
      </c>
      <c r="J55">
        <f>IF(G55="","",G55-C55)</f>
        <v/>
      </c>
    </row>
    <row r="56">
      <c r="A56" t="inlineStr">
        <is>
          <t>LE-2026-05</t>
        </is>
      </c>
      <c r="B56" t="inlineStr">
        <is>
          <t>Lotus Education</t>
        </is>
      </c>
      <c r="C56" s="1" t="n">
        <v>46057</v>
      </c>
      <c r="D56" t="n">
        <v>40000</v>
      </c>
      <c r="E56" t="inlineStr">
        <is>
          <t>Net 30</t>
        </is>
      </c>
      <c r="F56" s="1" t="n">
        <v>46087</v>
      </c>
      <c r="G56" s="1" t="n"/>
      <c r="H56" t="inlineStr">
        <is>
          <t>Overdue</t>
        </is>
      </c>
      <c r="I56" t="inlineStr">
        <is>
          <t>PO-4142</t>
        </is>
      </c>
      <c r="J56">
        <f>IF(G56="","",G56-C56)</f>
        <v/>
      </c>
    </row>
    <row r="57">
      <c r="A57" t="inlineStr">
        <is>
          <t>ME-2026-05</t>
        </is>
      </c>
      <c r="B57" t="inlineStr">
        <is>
          <t>Meridian Energy</t>
        </is>
      </c>
      <c r="C57" s="1" t="n">
        <v>46058</v>
      </c>
      <c r="D57" t="n">
        <v>61500</v>
      </c>
      <c r="E57" t="inlineStr">
        <is>
          <t>Net 30</t>
        </is>
      </c>
      <c r="F57" s="1" t="n">
        <v>46088</v>
      </c>
      <c r="G57" s="1" t="n">
        <v>46083</v>
      </c>
      <c r="H57" t="inlineStr">
        <is>
          <t>Paid</t>
        </is>
      </c>
      <c r="I57" t="inlineStr">
        <is>
          <t>PO-4149</t>
        </is>
      </c>
      <c r="J57">
        <f>IF(G57="","",G57-C57)</f>
        <v/>
      </c>
    </row>
    <row r="58">
      <c r="A58" t="inlineStr">
        <is>
          <t>IT-2026-05</t>
        </is>
      </c>
      <c r="B58" t="inlineStr">
        <is>
          <t>Indigo Textiles</t>
        </is>
      </c>
      <c r="C58" s="1" t="n">
        <v>46059</v>
      </c>
      <c r="D58" t="n">
        <v>31500</v>
      </c>
      <c r="E58" t="inlineStr">
        <is>
          <t>Net 30</t>
        </is>
      </c>
      <c r="F58" s="1" t="n">
        <v>46089</v>
      </c>
      <c r="G58" s="1" t="n">
        <v>46092</v>
      </c>
      <c r="H58" t="inlineStr">
        <is>
          <t>Paid</t>
        </is>
      </c>
      <c r="I58" t="inlineStr">
        <is>
          <t>PO-4156</t>
        </is>
      </c>
      <c r="J58">
        <f>IF(G58="","",G58-C58)</f>
        <v/>
      </c>
    </row>
    <row r="59">
      <c r="A59" t="inlineStr">
        <is>
          <t>HT-2026-05</t>
        </is>
      </c>
      <c r="B59" t="inlineStr">
        <is>
          <t>Horizon Travel</t>
        </is>
      </c>
      <c r="C59" s="1" t="n">
        <v>46060</v>
      </c>
      <c r="D59" t="n">
        <v>50000</v>
      </c>
      <c r="E59" t="inlineStr">
        <is>
          <t>Net 30</t>
        </is>
      </c>
      <c r="F59" s="1" t="n">
        <v>46090</v>
      </c>
      <c r="G59" s="1" t="n">
        <v>46093</v>
      </c>
      <c r="H59" t="inlineStr">
        <is>
          <t>Paid</t>
        </is>
      </c>
      <c r="I59" t="inlineStr">
        <is>
          <t>PO-4163</t>
        </is>
      </c>
      <c r="J59">
        <f>IF(G59="","",G59-C59)</f>
        <v/>
      </c>
    </row>
    <row r="60">
      <c r="A60" t="inlineStr">
        <is>
          <t>JH-2026-05</t>
        </is>
      </c>
      <c r="B60" t="inlineStr">
        <is>
          <t>Juniper Health</t>
        </is>
      </c>
      <c r="C60" s="1" t="n">
        <v>46061</v>
      </c>
      <c r="D60" t="n">
        <v>70000</v>
      </c>
      <c r="E60" t="inlineStr">
        <is>
          <t>Net 30</t>
        </is>
      </c>
      <c r="F60" s="1" t="n">
        <v>46091</v>
      </c>
      <c r="G60" s="1" t="n">
        <v>46090</v>
      </c>
      <c r="H60" t="inlineStr">
        <is>
          <t>Paid</t>
        </is>
      </c>
      <c r="I60" t="inlineStr">
        <is>
          <t>PO-4170</t>
        </is>
      </c>
      <c r="J60">
        <f>IF(G60="","",G60-C60)</f>
        <v/>
      </c>
    </row>
    <row r="61">
      <c r="A61" t="inlineStr">
        <is>
          <t>SJ-2026-05</t>
        </is>
      </c>
      <c r="B61" t="inlineStr">
        <is>
          <t>Sapphire Jewels</t>
        </is>
      </c>
      <c r="C61" s="1" t="n">
        <v>46062</v>
      </c>
      <c r="D61" t="n">
        <v>29200</v>
      </c>
      <c r="E61" t="inlineStr">
        <is>
          <t>Net 30</t>
        </is>
      </c>
      <c r="F61" s="1" t="n">
        <v>46092</v>
      </c>
      <c r="G61" s="1" t="n">
        <v>46091</v>
      </c>
      <c r="H61" t="inlineStr">
        <is>
          <t>Paid</t>
        </is>
      </c>
      <c r="I61" t="inlineStr">
        <is>
          <t>PO-4177</t>
        </is>
      </c>
      <c r="J61">
        <f>IF(G61="","",G61-C61)</f>
        <v/>
      </c>
    </row>
    <row r="62">
      <c r="A62" t="inlineStr">
        <is>
          <t>QA-2026-06</t>
        </is>
      </c>
      <c r="B62" t="inlineStr">
        <is>
          <t>Quartz Analytics</t>
        </is>
      </c>
      <c r="C62" s="1" t="n">
        <v>46081</v>
      </c>
      <c r="D62" t="n">
        <v>60000</v>
      </c>
      <c r="E62" t="inlineStr">
        <is>
          <t>Net 30</t>
        </is>
      </c>
      <c r="F62" s="1" t="n">
        <v>46111</v>
      </c>
      <c r="G62" s="1" t="n">
        <v>46109</v>
      </c>
      <c r="H62" t="inlineStr">
        <is>
          <t>Paid</t>
        </is>
      </c>
      <c r="I62" t="inlineStr">
        <is>
          <t>PO-4100</t>
        </is>
      </c>
      <c r="J62">
        <f>IF(G62="","",G62-C62)</f>
        <v/>
      </c>
    </row>
    <row r="63">
      <c r="A63" t="inlineStr">
        <is>
          <t>CL-2026-06</t>
        </is>
      </c>
      <c r="B63" t="inlineStr">
        <is>
          <t>Cedar Logistics</t>
        </is>
      </c>
      <c r="C63" s="1" t="n">
        <v>46082</v>
      </c>
      <c r="D63" t="n">
        <v>40000</v>
      </c>
      <c r="E63" t="inlineStr">
        <is>
          <t>Net 30</t>
        </is>
      </c>
      <c r="F63" s="1" t="n">
        <v>46112</v>
      </c>
      <c r="G63" s="1" t="n">
        <v>46110</v>
      </c>
      <c r="H63" t="inlineStr">
        <is>
          <t>Paid</t>
        </is>
      </c>
      <c r="I63" t="inlineStr">
        <is>
          <t>PO-4107</t>
        </is>
      </c>
      <c r="J63">
        <f>IF(G63="","",G63-C63)</f>
        <v/>
      </c>
    </row>
    <row r="64">
      <c r="A64" t="inlineStr">
        <is>
          <t>FM-2026-06</t>
        </is>
      </c>
      <c r="B64" t="inlineStr">
        <is>
          <t>Falcon Media</t>
        </is>
      </c>
      <c r="C64" s="1" t="n">
        <v>46083</v>
      </c>
      <c r="D64" t="n">
        <v>80000</v>
      </c>
      <c r="E64" t="inlineStr">
        <is>
          <t>Net 30</t>
        </is>
      </c>
      <c r="F64" s="1" t="n">
        <v>46113</v>
      </c>
      <c r="G64" s="1" t="n">
        <v>46111</v>
      </c>
      <c r="H64" t="inlineStr">
        <is>
          <t>Paid</t>
        </is>
      </c>
      <c r="I64" t="inlineStr">
        <is>
          <t>PO-4114</t>
        </is>
      </c>
      <c r="J64">
        <f>IF(G64="","",G64-C64)</f>
        <v/>
      </c>
    </row>
    <row r="65">
      <c r="A65" t="inlineStr">
        <is>
          <t>KF-2026-06</t>
        </is>
      </c>
      <c r="B65" t="inlineStr">
        <is>
          <t>Kestrel Finance</t>
        </is>
      </c>
      <c r="C65" s="1" t="n">
        <v>46084</v>
      </c>
      <c r="D65" t="n">
        <v>70000</v>
      </c>
      <c r="E65" t="inlineStr">
        <is>
          <t>Net 30</t>
        </is>
      </c>
      <c r="F65" s="1" t="n">
        <v>46114</v>
      </c>
      <c r="G65" s="1" t="n">
        <v>46109</v>
      </c>
      <c r="H65" t="inlineStr">
        <is>
          <t>Paid</t>
        </is>
      </c>
      <c r="I65" t="inlineStr">
        <is>
          <t>PO-4121</t>
        </is>
      </c>
      <c r="J65">
        <f>IF(G65="","",G65-C65)</f>
        <v/>
      </c>
    </row>
    <row r="66">
      <c r="A66" t="inlineStr">
        <is>
          <t>GB-2026-06</t>
        </is>
      </c>
      <c r="B66" t="inlineStr">
        <is>
          <t>Granite Builders</t>
        </is>
      </c>
      <c r="C66" s="1" t="n">
        <v>46085</v>
      </c>
      <c r="D66" t="n">
        <v>50000</v>
      </c>
      <c r="E66" t="inlineStr">
        <is>
          <t>Net 30</t>
        </is>
      </c>
      <c r="F66" s="1" t="n">
        <v>46115</v>
      </c>
      <c r="G66" s="1" t="n">
        <v>46116</v>
      </c>
      <c r="H66" t="inlineStr">
        <is>
          <t>Paid</t>
        </is>
      </c>
      <c r="I66" t="inlineStr">
        <is>
          <t>PO-4128</t>
        </is>
      </c>
      <c r="J66">
        <f>IF(G66="","",G66-C66)</f>
        <v/>
      </c>
    </row>
    <row r="67">
      <c r="A67" t="inlineStr">
        <is>
          <t>OH-2026-06</t>
        </is>
      </c>
      <c r="B67" t="inlineStr">
        <is>
          <t>Orchid Hotels</t>
        </is>
      </c>
      <c r="C67" s="1" t="n">
        <v>46086</v>
      </c>
      <c r="D67" t="n">
        <v>30000</v>
      </c>
      <c r="E67" t="inlineStr">
        <is>
          <t>Net 30</t>
        </is>
      </c>
      <c r="F67" s="1" t="n">
        <v>46116</v>
      </c>
      <c r="G67" s="1" t="n"/>
      <c r="H67" t="inlineStr">
        <is>
          <t>Overdue</t>
        </is>
      </c>
      <c r="I67" t="inlineStr">
        <is>
          <t>PO-4135</t>
        </is>
      </c>
      <c r="J67">
        <f>IF(G67="","",G67-C67)</f>
        <v/>
      </c>
    </row>
    <row r="68">
      <c r="A68" t="inlineStr">
        <is>
          <t>LE-2026-06</t>
        </is>
      </c>
      <c r="B68" t="inlineStr">
        <is>
          <t>Lotus Education</t>
        </is>
      </c>
      <c r="C68" s="1" t="n">
        <v>46087</v>
      </c>
      <c r="D68" t="n">
        <v>41500</v>
      </c>
      <c r="E68" t="inlineStr">
        <is>
          <t>Net 30</t>
        </is>
      </c>
      <c r="F68" s="1" t="n">
        <v>46117</v>
      </c>
      <c r="G68" s="1" t="n">
        <v>46116</v>
      </c>
      <c r="H68" t="inlineStr">
        <is>
          <t>Paid</t>
        </is>
      </c>
      <c r="I68" t="inlineStr">
        <is>
          <t>PO-4142</t>
        </is>
      </c>
      <c r="J68">
        <f>IF(G68="","",G68-C68)</f>
        <v/>
      </c>
    </row>
    <row r="69">
      <c r="A69" t="inlineStr">
        <is>
          <t>ME-2026-06</t>
        </is>
      </c>
      <c r="B69" t="inlineStr">
        <is>
          <t>Meridian Energy</t>
        </is>
      </c>
      <c r="C69" s="1" t="n">
        <v>46088</v>
      </c>
      <c r="D69" t="n">
        <v>60000</v>
      </c>
      <c r="E69" t="inlineStr">
        <is>
          <t>Net 30</t>
        </is>
      </c>
      <c r="F69" s="1" t="n">
        <v>46118</v>
      </c>
      <c r="G69" s="1" t="n">
        <v>46117</v>
      </c>
      <c r="H69" t="inlineStr">
        <is>
          <t>Paid</t>
        </is>
      </c>
      <c r="I69" t="inlineStr">
        <is>
          <t>PO-4149</t>
        </is>
      </c>
      <c r="J69">
        <f>IF(G69="","",G69-C69)</f>
        <v/>
      </c>
    </row>
    <row r="70">
      <c r="A70" t="inlineStr">
        <is>
          <t>IT-2026-06</t>
        </is>
      </c>
      <c r="B70" t="inlineStr">
        <is>
          <t>Indigo Textiles</t>
        </is>
      </c>
      <c r="C70" s="1" t="n">
        <v>46089</v>
      </c>
      <c r="D70" t="n">
        <v>30000</v>
      </c>
      <c r="E70" t="inlineStr">
        <is>
          <t>Net 30</t>
        </is>
      </c>
      <c r="F70" s="1" t="n">
        <v>46119</v>
      </c>
      <c r="G70" s="1" t="n">
        <v>46118</v>
      </c>
      <c r="H70" t="inlineStr">
        <is>
          <t>Paid</t>
        </is>
      </c>
      <c r="I70" t="inlineStr">
        <is>
          <t>PO-4156</t>
        </is>
      </c>
      <c r="J70">
        <f>IF(G70="","",G70-C70)</f>
        <v/>
      </c>
    </row>
    <row r="71">
      <c r="A71" t="inlineStr">
        <is>
          <t>HT-2026-06</t>
        </is>
      </c>
      <c r="B71" t="inlineStr">
        <is>
          <t>Horizon Travel</t>
        </is>
      </c>
      <c r="C71" s="1" t="n">
        <v>46090</v>
      </c>
      <c r="D71" t="n">
        <v>50000</v>
      </c>
      <c r="E71" t="inlineStr">
        <is>
          <t>Net 30</t>
        </is>
      </c>
      <c r="F71" s="1" t="n">
        <v>46120</v>
      </c>
      <c r="G71" s="1" t="n">
        <v>46119</v>
      </c>
      <c r="H71" t="inlineStr">
        <is>
          <t>Paid</t>
        </is>
      </c>
      <c r="I71" t="inlineStr">
        <is>
          <t>PO-4163</t>
        </is>
      </c>
      <c r="J71">
        <f>IF(G71="","",G71-C71)</f>
        <v/>
      </c>
    </row>
    <row r="72">
      <c r="A72" t="inlineStr">
        <is>
          <t>JH-2026-06</t>
        </is>
      </c>
      <c r="B72" t="inlineStr">
        <is>
          <t>Juniper Health</t>
        </is>
      </c>
      <c r="C72" s="1" t="n">
        <v>46091</v>
      </c>
      <c r="D72" t="n">
        <v>71500</v>
      </c>
      <c r="E72" t="inlineStr">
        <is>
          <t>Net 30</t>
        </is>
      </c>
      <c r="F72" s="1" t="n">
        <v>46121</v>
      </c>
      <c r="G72" s="1" t="n">
        <v>46124</v>
      </c>
      <c r="H72" t="inlineStr">
        <is>
          <t>Paid</t>
        </is>
      </c>
      <c r="I72" t="inlineStr">
        <is>
          <t>PO-4170</t>
        </is>
      </c>
      <c r="J72">
        <f>IF(G72="","",G72-C72)</f>
        <v/>
      </c>
    </row>
    <row r="73">
      <c r="A73" t="inlineStr">
        <is>
          <t>SJ-2026-06</t>
        </is>
      </c>
      <c r="B73" t="inlineStr">
        <is>
          <t>Sapphire Jewels</t>
        </is>
      </c>
      <c r="C73" s="1" t="n">
        <v>46092</v>
      </c>
      <c r="D73" t="n">
        <v>30000</v>
      </c>
      <c r="E73" t="inlineStr">
        <is>
          <t>Net 30</t>
        </is>
      </c>
      <c r="F73" s="1" t="n">
        <v>46122</v>
      </c>
      <c r="G73" s="1" t="n">
        <v>46123</v>
      </c>
      <c r="H73" t="inlineStr">
        <is>
          <t>Paid</t>
        </is>
      </c>
      <c r="I73" t="inlineStr">
        <is>
          <t>PO-4177</t>
        </is>
      </c>
      <c r="J73">
        <f>IF(G73="","",G73-C73)</f>
        <v/>
      </c>
    </row>
    <row r="74">
      <c r="A74" t="inlineStr">
        <is>
          <t>QA-2026-07</t>
        </is>
      </c>
      <c r="B74" t="inlineStr">
        <is>
          <t>Quartz Analytics</t>
        </is>
      </c>
      <c r="C74" s="1" t="n">
        <v>46111</v>
      </c>
      <c r="D74" t="n">
        <v>61500</v>
      </c>
      <c r="E74" t="inlineStr">
        <is>
          <t>Net 30</t>
        </is>
      </c>
      <c r="F74" s="1" t="n">
        <v>46141</v>
      </c>
      <c r="G74" s="1" t="n">
        <v>46140</v>
      </c>
      <c r="H74" t="inlineStr">
        <is>
          <t>Paid</t>
        </is>
      </c>
      <c r="I74" t="inlineStr">
        <is>
          <t>PO-4100</t>
        </is>
      </c>
      <c r="J74">
        <f>IF(G74="","",G74-C74)</f>
        <v/>
      </c>
    </row>
    <row r="75">
      <c r="A75" t="inlineStr">
        <is>
          <t>CL-2026-07</t>
        </is>
      </c>
      <c r="B75" t="inlineStr">
        <is>
          <t>Cedar Logistics</t>
        </is>
      </c>
      <c r="C75" s="1" t="n">
        <v>46112</v>
      </c>
      <c r="D75" t="n">
        <v>40000</v>
      </c>
      <c r="E75" t="inlineStr">
        <is>
          <t>Net 30</t>
        </is>
      </c>
      <c r="F75" s="1" t="n">
        <v>46142</v>
      </c>
      <c r="G75" s="1" t="n">
        <v>46137</v>
      </c>
      <c r="H75" t="inlineStr">
        <is>
          <t>Paid</t>
        </is>
      </c>
      <c r="I75" t="inlineStr">
        <is>
          <t>PO-4107</t>
        </is>
      </c>
      <c r="J75">
        <f>IF(G75="","",G75-C75)</f>
        <v/>
      </c>
    </row>
    <row r="76">
      <c r="A76" t="inlineStr">
        <is>
          <t>FM-2026-07</t>
        </is>
      </c>
      <c r="B76" t="inlineStr">
        <is>
          <t>Falcon Media</t>
        </is>
      </c>
      <c r="C76" s="1" t="n">
        <v>46113</v>
      </c>
      <c r="D76" t="n">
        <v>80000</v>
      </c>
      <c r="E76" t="inlineStr">
        <is>
          <t>Net 30</t>
        </is>
      </c>
      <c r="F76" s="1" t="n">
        <v>46143</v>
      </c>
      <c r="G76" s="1" t="n">
        <v>46138</v>
      </c>
      <c r="H76" t="inlineStr">
        <is>
          <t>Paid</t>
        </is>
      </c>
      <c r="I76" t="inlineStr">
        <is>
          <t>PO-4114</t>
        </is>
      </c>
      <c r="J76">
        <f>IF(G76="","",G76-C76)</f>
        <v/>
      </c>
    </row>
    <row r="77">
      <c r="A77" t="inlineStr">
        <is>
          <t>KF-2026-07</t>
        </is>
      </c>
      <c r="B77" t="inlineStr">
        <is>
          <t>Kestrel Finance</t>
        </is>
      </c>
      <c r="C77" s="1" t="n">
        <v>46114</v>
      </c>
      <c r="D77" t="n">
        <v>70000</v>
      </c>
      <c r="E77" t="inlineStr">
        <is>
          <t>Net 30</t>
        </is>
      </c>
      <c r="F77" s="1" t="n">
        <v>46144</v>
      </c>
      <c r="G77" s="1" t="n">
        <v>46139</v>
      </c>
      <c r="H77" t="inlineStr">
        <is>
          <t>Paid</t>
        </is>
      </c>
      <c r="I77" t="inlineStr">
        <is>
          <t>PO-4121</t>
        </is>
      </c>
      <c r="J77">
        <f>IF(G77="","",G77-C77)</f>
        <v/>
      </c>
    </row>
    <row r="78">
      <c r="A78" t="inlineStr">
        <is>
          <t>GB-2026-07</t>
        </is>
      </c>
      <c r="B78" t="inlineStr">
        <is>
          <t>Granite Builders</t>
        </is>
      </c>
      <c r="C78" s="1" t="n">
        <v>46115</v>
      </c>
      <c r="D78" t="n">
        <v>49200</v>
      </c>
      <c r="E78" t="inlineStr">
        <is>
          <t>Net 30</t>
        </is>
      </c>
      <c r="F78" s="1" t="n">
        <v>46145</v>
      </c>
      <c r="G78" s="1" t="n"/>
      <c r="H78" t="inlineStr">
        <is>
          <t>Overdue</t>
        </is>
      </c>
      <c r="I78" t="inlineStr">
        <is>
          <t>PO-4128</t>
        </is>
      </c>
      <c r="J78">
        <f>IF(G78="","",G78-C78)</f>
        <v/>
      </c>
    </row>
    <row r="79">
      <c r="A79" t="inlineStr">
        <is>
          <t>OH-2026-07</t>
        </is>
      </c>
      <c r="B79" t="inlineStr">
        <is>
          <t>Orchid Hotels</t>
        </is>
      </c>
      <c r="C79" s="1" t="n">
        <v>46116</v>
      </c>
      <c r="D79" t="n">
        <v>30000</v>
      </c>
      <c r="E79" t="inlineStr">
        <is>
          <t>Net 30</t>
        </is>
      </c>
      <c r="F79" s="1" t="n">
        <v>46146</v>
      </c>
      <c r="G79" s="1" t="n">
        <v>46145</v>
      </c>
      <c r="H79" t="inlineStr">
        <is>
          <t>Paid</t>
        </is>
      </c>
      <c r="I79" t="inlineStr">
        <is>
          <t>PO-4135</t>
        </is>
      </c>
      <c r="J79">
        <f>IF(G79="","",G79-C79)</f>
        <v/>
      </c>
    </row>
    <row r="80">
      <c r="A80" t="inlineStr">
        <is>
          <t>NS-2026-01</t>
        </is>
      </c>
      <c r="B80" t="inlineStr">
        <is>
          <t>Nimbus Software</t>
        </is>
      </c>
      <c r="C80" s="1" t="n">
        <v>46117</v>
      </c>
      <c r="D80" t="n">
        <v>300000</v>
      </c>
      <c r="E80" t="inlineStr">
        <is>
          <t>Net 45</t>
        </is>
      </c>
      <c r="F80" s="1" t="n">
        <v>46162</v>
      </c>
      <c r="G80" s="1" t="n">
        <v>46160</v>
      </c>
      <c r="H80" t="inlineStr">
        <is>
          <t>Paid</t>
        </is>
      </c>
      <c r="I80" t="inlineStr">
        <is>
          <t>PO-4481</t>
        </is>
      </c>
      <c r="J80">
        <f>IF(G80="","",G80-C80)</f>
        <v/>
      </c>
    </row>
    <row r="81">
      <c r="A81" t="inlineStr">
        <is>
          <t>LE-2026-07</t>
        </is>
      </c>
      <c r="B81" t="inlineStr">
        <is>
          <t>Lotus Education</t>
        </is>
      </c>
      <c r="C81" s="1" t="n">
        <v>46117</v>
      </c>
      <c r="D81" t="n">
        <v>41500</v>
      </c>
      <c r="E81" t="inlineStr">
        <is>
          <t>Net 30</t>
        </is>
      </c>
      <c r="F81" s="1" t="n">
        <v>46147</v>
      </c>
      <c r="G81" s="1" t="n">
        <v>46150</v>
      </c>
      <c r="H81" t="inlineStr">
        <is>
          <t>Paid</t>
        </is>
      </c>
      <c r="I81" t="inlineStr">
        <is>
          <t>PO-4142</t>
        </is>
      </c>
      <c r="J81">
        <f>IF(G81="","",G81-C81)</f>
        <v/>
      </c>
    </row>
    <row r="82">
      <c r="A82" t="inlineStr">
        <is>
          <t>ME-2026-07</t>
        </is>
      </c>
      <c r="B82" t="inlineStr">
        <is>
          <t>Meridian Energy</t>
        </is>
      </c>
      <c r="C82" s="1" t="n">
        <v>46118</v>
      </c>
      <c r="D82" t="n">
        <v>59200</v>
      </c>
      <c r="E82" t="inlineStr">
        <is>
          <t>Net 30</t>
        </is>
      </c>
      <c r="F82" s="1" t="n">
        <v>46148</v>
      </c>
      <c r="G82" s="1" t="n">
        <v>46148</v>
      </c>
      <c r="H82" t="inlineStr">
        <is>
          <t>Paid</t>
        </is>
      </c>
      <c r="I82" t="inlineStr">
        <is>
          <t>PO-4149</t>
        </is>
      </c>
      <c r="J82">
        <f>IF(G82="","",G82-C82)</f>
        <v/>
      </c>
    </row>
    <row r="83">
      <c r="A83" t="inlineStr">
        <is>
          <t>IT-2026-07</t>
        </is>
      </c>
      <c r="B83" t="inlineStr">
        <is>
          <t>Indigo Textiles</t>
        </is>
      </c>
      <c r="C83" s="1" t="n">
        <v>46119</v>
      </c>
      <c r="D83" t="n">
        <v>31500</v>
      </c>
      <c r="E83" t="inlineStr">
        <is>
          <t>Net 30</t>
        </is>
      </c>
      <c r="F83" s="1" t="n">
        <v>46149</v>
      </c>
      <c r="G83" s="1" t="n">
        <v>46144</v>
      </c>
      <c r="H83" t="inlineStr">
        <is>
          <t>Paid</t>
        </is>
      </c>
      <c r="I83" t="inlineStr">
        <is>
          <t>PO-4156</t>
        </is>
      </c>
      <c r="J83">
        <f>IF(G83="","",G83-C83)</f>
        <v/>
      </c>
    </row>
    <row r="84">
      <c r="A84" t="inlineStr">
        <is>
          <t>HT-2026-07</t>
        </is>
      </c>
      <c r="B84" t="inlineStr">
        <is>
          <t>Horizon Travel</t>
        </is>
      </c>
      <c r="C84" s="1" t="n">
        <v>46120</v>
      </c>
      <c r="D84" t="n">
        <v>50000</v>
      </c>
      <c r="E84" t="inlineStr">
        <is>
          <t>Net 30</t>
        </is>
      </c>
      <c r="F84" s="1" t="n">
        <v>46150</v>
      </c>
      <c r="G84" s="1" t="n">
        <v>46151</v>
      </c>
      <c r="H84" t="inlineStr">
        <is>
          <t>Paid</t>
        </is>
      </c>
      <c r="I84" t="inlineStr">
        <is>
          <t>PO-4163</t>
        </is>
      </c>
      <c r="J84">
        <f>IF(G84="","",G84-C84)</f>
        <v/>
      </c>
    </row>
    <row r="85">
      <c r="A85" t="inlineStr">
        <is>
          <t>JH-2026-07</t>
        </is>
      </c>
      <c r="B85" t="inlineStr">
        <is>
          <t>Juniper Health</t>
        </is>
      </c>
      <c r="C85" s="1" t="n">
        <v>46121</v>
      </c>
      <c r="D85" t="n">
        <v>70000</v>
      </c>
      <c r="E85" t="inlineStr">
        <is>
          <t>Net 30</t>
        </is>
      </c>
      <c r="F85" s="1" t="n">
        <v>46151</v>
      </c>
      <c r="G85" s="1" t="n">
        <v>46150</v>
      </c>
      <c r="H85" t="inlineStr">
        <is>
          <t>Paid</t>
        </is>
      </c>
      <c r="I85" t="inlineStr">
        <is>
          <t>PO-4170</t>
        </is>
      </c>
      <c r="J85">
        <f>IF(G85="","",G85-C85)</f>
        <v/>
      </c>
    </row>
    <row r="86">
      <c r="A86" t="inlineStr">
        <is>
          <t>SJ-2026-07</t>
        </is>
      </c>
      <c r="B86" t="inlineStr">
        <is>
          <t>Sapphire Jewels</t>
        </is>
      </c>
      <c r="C86" s="1" t="n">
        <v>46122</v>
      </c>
      <c r="D86" t="n">
        <v>30000</v>
      </c>
      <c r="E86" t="inlineStr">
        <is>
          <t>Net 30</t>
        </is>
      </c>
      <c r="F86" s="1" t="n">
        <v>46152</v>
      </c>
      <c r="G86" s="1" t="n">
        <v>46155</v>
      </c>
      <c r="H86" t="inlineStr">
        <is>
          <t>Paid</t>
        </is>
      </c>
      <c r="I86" t="inlineStr">
        <is>
          <t>PO-4177</t>
        </is>
      </c>
      <c r="J86">
        <f>IF(G86="","",G86-C86)</f>
        <v/>
      </c>
    </row>
    <row r="87">
      <c r="A87" t="inlineStr">
        <is>
          <t>QA-2026-08</t>
        </is>
      </c>
      <c r="B87" t="inlineStr">
        <is>
          <t>Quartz Analytics</t>
        </is>
      </c>
      <c r="C87" s="1" t="n">
        <v>46141</v>
      </c>
      <c r="D87" t="n">
        <v>61500</v>
      </c>
      <c r="E87" t="inlineStr">
        <is>
          <t>Net 30</t>
        </is>
      </c>
      <c r="F87" s="1" t="n">
        <v>46171</v>
      </c>
      <c r="G87" s="1" t="n">
        <v>46169</v>
      </c>
      <c r="H87" t="inlineStr">
        <is>
          <t>Paid</t>
        </is>
      </c>
      <c r="I87" t="inlineStr">
        <is>
          <t>PO-4100</t>
        </is>
      </c>
      <c r="J87">
        <f>IF(G87="","",G87-C87)</f>
        <v/>
      </c>
    </row>
    <row r="88">
      <c r="A88" t="inlineStr">
        <is>
          <t>CL-2026-08</t>
        </is>
      </c>
      <c r="B88" t="inlineStr">
        <is>
          <t>Cedar Logistics</t>
        </is>
      </c>
      <c r="C88" s="1" t="n">
        <v>46142</v>
      </c>
      <c r="D88" t="n">
        <v>40000</v>
      </c>
      <c r="E88" t="inlineStr">
        <is>
          <t>Net 30</t>
        </is>
      </c>
      <c r="F88" s="1" t="n">
        <v>46172</v>
      </c>
      <c r="G88" s="1" t="n">
        <v>46170</v>
      </c>
      <c r="H88" t="inlineStr">
        <is>
          <t>Paid</t>
        </is>
      </c>
      <c r="I88" t="inlineStr">
        <is>
          <t>PO-4107</t>
        </is>
      </c>
      <c r="J88">
        <f>IF(G88="","",G88-C88)</f>
        <v/>
      </c>
    </row>
    <row r="89">
      <c r="A89" t="inlineStr">
        <is>
          <t>FM-2026-08</t>
        </is>
      </c>
      <c r="B89" t="inlineStr">
        <is>
          <t>Falcon Media</t>
        </is>
      </c>
      <c r="C89" s="1" t="n">
        <v>46143</v>
      </c>
      <c r="D89" t="n">
        <v>79200</v>
      </c>
      <c r="E89" t="inlineStr">
        <is>
          <t>Net 30</t>
        </is>
      </c>
      <c r="F89" s="1" t="n">
        <v>46173</v>
      </c>
      <c r="G89" s="1" t="n">
        <v>46172</v>
      </c>
      <c r="H89" t="inlineStr">
        <is>
          <t>Paid</t>
        </is>
      </c>
      <c r="I89" t="inlineStr">
        <is>
          <t>PO-4114</t>
        </is>
      </c>
      <c r="J89">
        <f>IF(G89="","",G89-C89)</f>
        <v/>
      </c>
    </row>
    <row r="90">
      <c r="A90" t="inlineStr">
        <is>
          <t>KF-2026-08</t>
        </is>
      </c>
      <c r="B90" t="inlineStr">
        <is>
          <t>Kestrel Finance</t>
        </is>
      </c>
      <c r="C90" s="1" t="n">
        <v>46144</v>
      </c>
      <c r="D90" t="n">
        <v>71500</v>
      </c>
      <c r="E90" t="inlineStr">
        <is>
          <t>Net 30</t>
        </is>
      </c>
      <c r="F90" s="1" t="n">
        <v>46174</v>
      </c>
      <c r="G90" s="1" t="n"/>
      <c r="H90" t="inlineStr">
        <is>
          <t>Overdue</t>
        </is>
      </c>
      <c r="I90" t="inlineStr">
        <is>
          <t>PO-4121</t>
        </is>
      </c>
      <c r="J90">
        <f>IF(G90="","",G90-C90)</f>
        <v/>
      </c>
    </row>
    <row r="91">
      <c r="A91" t="inlineStr">
        <is>
          <t>GB-2026-08</t>
        </is>
      </c>
      <c r="B91" t="inlineStr">
        <is>
          <t>Granite Builders</t>
        </is>
      </c>
      <c r="C91" s="1" t="n">
        <v>46145</v>
      </c>
      <c r="D91" t="n">
        <v>51500</v>
      </c>
      <c r="E91" t="inlineStr">
        <is>
          <t>Net 30</t>
        </is>
      </c>
      <c r="F91" s="1" t="n">
        <v>46175</v>
      </c>
      <c r="G91" s="1" t="n">
        <v>46174</v>
      </c>
      <c r="H91" t="inlineStr">
        <is>
          <t>Paid</t>
        </is>
      </c>
      <c r="I91" t="inlineStr">
        <is>
          <t>PO-4128</t>
        </is>
      </c>
      <c r="J91">
        <f>IF(G91="","",G91-C91)</f>
        <v/>
      </c>
    </row>
    <row r="92">
      <c r="A92" t="inlineStr">
        <is>
          <t>OH-2026-08</t>
        </is>
      </c>
      <c r="B92" t="inlineStr">
        <is>
          <t>Orchid Hotels</t>
        </is>
      </c>
      <c r="C92" s="1" t="n">
        <v>46146</v>
      </c>
      <c r="D92" t="n">
        <v>30000</v>
      </c>
      <c r="E92" t="inlineStr">
        <is>
          <t>Net 30</t>
        </is>
      </c>
      <c r="F92" s="1" t="n">
        <v>46176</v>
      </c>
      <c r="G92" s="1" t="n">
        <v>46175</v>
      </c>
      <c r="H92" t="inlineStr">
        <is>
          <t>Paid</t>
        </is>
      </c>
      <c r="I92" t="inlineStr">
        <is>
          <t>PO-4135</t>
        </is>
      </c>
      <c r="J92">
        <f>IF(G92="","",G92-C92)</f>
        <v/>
      </c>
    </row>
    <row r="93">
      <c r="A93" t="inlineStr">
        <is>
          <t>LE-2026-08</t>
        </is>
      </c>
      <c r="B93" t="inlineStr">
        <is>
          <t>Lotus Education</t>
        </is>
      </c>
      <c r="C93" s="1" t="n">
        <v>46147</v>
      </c>
      <c r="D93" t="n">
        <v>40000</v>
      </c>
      <c r="E93" t="inlineStr">
        <is>
          <t>Net 30</t>
        </is>
      </c>
      <c r="F93" s="1" t="n">
        <v>46177</v>
      </c>
      <c r="G93" s="1" t="n">
        <v>46175</v>
      </c>
      <c r="H93" t="inlineStr">
        <is>
          <t>Paid</t>
        </is>
      </c>
      <c r="I93" t="inlineStr">
        <is>
          <t>PO-4142</t>
        </is>
      </c>
      <c r="J93">
        <f>IF(G93="","",G93-C93)</f>
        <v/>
      </c>
    </row>
    <row r="94">
      <c r="A94" t="inlineStr">
        <is>
          <t>ME-2026-08</t>
        </is>
      </c>
      <c r="B94" t="inlineStr">
        <is>
          <t>Meridian Energy</t>
        </is>
      </c>
      <c r="C94" s="1" t="n">
        <v>46148</v>
      </c>
      <c r="D94" t="n">
        <v>59200</v>
      </c>
      <c r="E94" t="inlineStr">
        <is>
          <t>Net 30</t>
        </is>
      </c>
      <c r="F94" s="1" t="n">
        <v>46178</v>
      </c>
      <c r="G94" s="1" t="n">
        <v>46176</v>
      </c>
      <c r="H94" t="inlineStr">
        <is>
          <t>Paid</t>
        </is>
      </c>
      <c r="I94" t="inlineStr">
        <is>
          <t>PO-4149</t>
        </is>
      </c>
      <c r="J94">
        <f>IF(G94="","",G94-C94)</f>
        <v/>
      </c>
    </row>
    <row r="95">
      <c r="A95" t="inlineStr">
        <is>
          <t>IT-2026-08</t>
        </is>
      </c>
      <c r="B95" t="inlineStr">
        <is>
          <t>Indigo Textiles</t>
        </is>
      </c>
      <c r="C95" s="1" t="n">
        <v>46149</v>
      </c>
      <c r="D95" t="n">
        <v>29200</v>
      </c>
      <c r="E95" t="inlineStr">
        <is>
          <t>Net 30</t>
        </is>
      </c>
      <c r="F95" s="1" t="n">
        <v>46179</v>
      </c>
      <c r="G95" s="1" t="n">
        <v>46178</v>
      </c>
      <c r="H95" t="inlineStr">
        <is>
          <t>Paid</t>
        </is>
      </c>
      <c r="I95" t="inlineStr">
        <is>
          <t>PO-4156</t>
        </is>
      </c>
      <c r="J95">
        <f>IF(G95="","",G95-C95)</f>
        <v/>
      </c>
    </row>
    <row r="96">
      <c r="A96" t="inlineStr">
        <is>
          <t>HT-2026-08</t>
        </is>
      </c>
      <c r="B96" t="inlineStr">
        <is>
          <t>Horizon Travel</t>
        </is>
      </c>
      <c r="C96" s="1" t="n">
        <v>46150</v>
      </c>
      <c r="D96" t="n">
        <v>49200</v>
      </c>
      <c r="E96" t="inlineStr">
        <is>
          <t>Net 30</t>
        </is>
      </c>
      <c r="F96" s="1" t="n">
        <v>46180</v>
      </c>
      <c r="G96" s="1" t="n">
        <v>46180</v>
      </c>
      <c r="H96" t="inlineStr">
        <is>
          <t>Paid</t>
        </is>
      </c>
      <c r="I96" t="inlineStr">
        <is>
          <t>PO-4163</t>
        </is>
      </c>
      <c r="J96">
        <f>IF(G96="","",G96-C96)</f>
        <v/>
      </c>
    </row>
    <row r="97">
      <c r="A97" t="inlineStr">
        <is>
          <t>JH-2026-08</t>
        </is>
      </c>
      <c r="B97" t="inlineStr">
        <is>
          <t>Juniper Health</t>
        </is>
      </c>
      <c r="C97" s="1" t="n">
        <v>46151</v>
      </c>
      <c r="D97" t="n">
        <v>70000</v>
      </c>
      <c r="E97" t="inlineStr">
        <is>
          <t>Net 30</t>
        </is>
      </c>
      <c r="F97" s="1" t="n">
        <v>46181</v>
      </c>
      <c r="G97" s="1" t="n">
        <v>46182</v>
      </c>
      <c r="H97" t="inlineStr">
        <is>
          <t>Paid</t>
        </is>
      </c>
      <c r="I97" t="inlineStr">
        <is>
          <t>PO-4170</t>
        </is>
      </c>
      <c r="J97">
        <f>IF(G97="","",G97-C97)</f>
        <v/>
      </c>
    </row>
    <row r="98">
      <c r="A98" t="inlineStr">
        <is>
          <t>SJ-2026-08</t>
        </is>
      </c>
      <c r="B98" t="inlineStr">
        <is>
          <t>Sapphire Jewels</t>
        </is>
      </c>
      <c r="C98" s="1" t="n">
        <v>46152</v>
      </c>
      <c r="D98" t="n">
        <v>30000</v>
      </c>
      <c r="E98" t="inlineStr">
        <is>
          <t>Net 30</t>
        </is>
      </c>
      <c r="F98" s="1" t="n">
        <v>46182</v>
      </c>
      <c r="G98" s="1" t="n">
        <v>46180</v>
      </c>
      <c r="H98" t="inlineStr">
        <is>
          <t>Paid</t>
        </is>
      </c>
      <c r="I98" t="inlineStr">
        <is>
          <t>PO-4177</t>
        </is>
      </c>
      <c r="J98">
        <f>IF(G98="","",G98-C98)</f>
        <v/>
      </c>
    </row>
    <row r="99">
      <c r="A99" t="inlineStr">
        <is>
          <t>QA-2026-09</t>
        </is>
      </c>
      <c r="B99" t="inlineStr">
        <is>
          <t>Quartz Analytics</t>
        </is>
      </c>
      <c r="C99" s="1" t="n">
        <v>46171</v>
      </c>
      <c r="D99" t="n">
        <v>60000</v>
      </c>
      <c r="E99" t="inlineStr">
        <is>
          <t>Net 30</t>
        </is>
      </c>
      <c r="F99" s="1" t="n">
        <v>46201</v>
      </c>
      <c r="G99" s="1" t="n">
        <v>46202</v>
      </c>
      <c r="H99" t="inlineStr">
        <is>
          <t>Paid</t>
        </is>
      </c>
      <c r="I99" t="inlineStr">
        <is>
          <t>PO-4100</t>
        </is>
      </c>
      <c r="J99">
        <f>IF(G99="","",G99-C99)</f>
        <v/>
      </c>
    </row>
    <row r="100">
      <c r="A100" t="inlineStr">
        <is>
          <t>CL-2026-09</t>
        </is>
      </c>
      <c r="B100" t="inlineStr">
        <is>
          <t>Cedar Logistics</t>
        </is>
      </c>
      <c r="C100" s="1" t="n">
        <v>46172</v>
      </c>
      <c r="D100" t="n">
        <v>40000</v>
      </c>
      <c r="E100" t="inlineStr">
        <is>
          <t>Net 30</t>
        </is>
      </c>
      <c r="F100" s="1" t="n">
        <v>46202</v>
      </c>
      <c r="G100" s="1" t="n">
        <v>46200</v>
      </c>
      <c r="H100" t="inlineStr">
        <is>
          <t>Paid</t>
        </is>
      </c>
      <c r="I100" t="inlineStr">
        <is>
          <t>PO-4107</t>
        </is>
      </c>
      <c r="J100">
        <f>IF(G100="","",G100-C100)</f>
        <v/>
      </c>
    </row>
    <row r="101">
      <c r="A101" t="inlineStr">
        <is>
          <t>FM-2026-09</t>
        </is>
      </c>
      <c r="B101" t="inlineStr">
        <is>
          <t>Falcon Media</t>
        </is>
      </c>
      <c r="C101" s="1" t="n">
        <v>46173</v>
      </c>
      <c r="D101" t="n">
        <v>79200</v>
      </c>
      <c r="E101" t="inlineStr">
        <is>
          <t>Net 30</t>
        </is>
      </c>
      <c r="F101" s="1" t="n">
        <v>46203</v>
      </c>
      <c r="G101" s="1" t="n"/>
      <c r="H101" t="inlineStr">
        <is>
          <t>Overdue</t>
        </is>
      </c>
      <c r="I101" t="inlineStr">
        <is>
          <t>PO-4114</t>
        </is>
      </c>
      <c r="J101">
        <f>IF(G101="","",G101-C101)</f>
        <v/>
      </c>
    </row>
    <row r="102">
      <c r="A102" t="inlineStr">
        <is>
          <t>KF-2026-09</t>
        </is>
      </c>
      <c r="B102" t="inlineStr">
        <is>
          <t>Kestrel Finance</t>
        </is>
      </c>
      <c r="C102" s="1" t="n">
        <v>46174</v>
      </c>
      <c r="D102" t="n">
        <v>69200</v>
      </c>
      <c r="E102" t="inlineStr">
        <is>
          <t>Net 30</t>
        </is>
      </c>
      <c r="F102" s="1" t="n">
        <v>46204</v>
      </c>
      <c r="G102" s="1" t="n">
        <v>46199</v>
      </c>
      <c r="H102" t="inlineStr">
        <is>
          <t>Paid</t>
        </is>
      </c>
      <c r="I102" t="inlineStr">
        <is>
          <t>PO-4121</t>
        </is>
      </c>
      <c r="J102">
        <f>IF(G102="","",G102-C102)</f>
        <v/>
      </c>
    </row>
    <row r="103">
      <c r="A103" t="inlineStr">
        <is>
          <t>GB-2026-09</t>
        </is>
      </c>
      <c r="B103" t="inlineStr">
        <is>
          <t>Granite Builders</t>
        </is>
      </c>
      <c r="C103" s="1" t="n">
        <v>46175</v>
      </c>
      <c r="D103" t="n">
        <v>49200</v>
      </c>
      <c r="E103" t="inlineStr">
        <is>
          <t>Net 30</t>
        </is>
      </c>
      <c r="F103" s="1" t="n">
        <v>46205</v>
      </c>
      <c r="G103" s="1" t="n">
        <v>46200</v>
      </c>
      <c r="H103" t="inlineStr">
        <is>
          <t>Paid</t>
        </is>
      </c>
      <c r="I103" t="inlineStr">
        <is>
          <t>PO-4128</t>
        </is>
      </c>
      <c r="J103">
        <f>IF(G103="","",G103-C103)</f>
        <v/>
      </c>
    </row>
    <row r="104">
      <c r="A104" t="inlineStr">
        <is>
          <t>OH-2026-09</t>
        </is>
      </c>
      <c r="B104" t="inlineStr">
        <is>
          <t>Orchid Hotels</t>
        </is>
      </c>
      <c r="C104" s="1" t="n">
        <v>46176</v>
      </c>
      <c r="D104" t="n">
        <v>30000</v>
      </c>
      <c r="E104" t="inlineStr">
        <is>
          <t>Net 30</t>
        </is>
      </c>
      <c r="F104" s="1" t="n">
        <v>46206</v>
      </c>
      <c r="G104" s="1" t="n">
        <v>46201</v>
      </c>
      <c r="H104" t="inlineStr">
        <is>
          <t>Paid</t>
        </is>
      </c>
      <c r="I104" t="inlineStr">
        <is>
          <t>PO-4135</t>
        </is>
      </c>
      <c r="J104">
        <f>IF(G104="","",G104-C104)</f>
        <v/>
      </c>
    </row>
    <row r="105">
      <c r="A105" t="inlineStr">
        <is>
          <t>LE-2026-09</t>
        </is>
      </c>
      <c r="B105" t="inlineStr">
        <is>
          <t>Lotus Education</t>
        </is>
      </c>
      <c r="C105" s="1" t="n">
        <v>46177</v>
      </c>
      <c r="D105" t="n">
        <v>40000</v>
      </c>
      <c r="E105" t="inlineStr">
        <is>
          <t>Net 30</t>
        </is>
      </c>
      <c r="F105" s="1" t="n">
        <v>46207</v>
      </c>
      <c r="G105" s="1" t="n">
        <v>46210</v>
      </c>
      <c r="H105" t="inlineStr">
        <is>
          <t>Paid</t>
        </is>
      </c>
      <c r="I105" t="inlineStr">
        <is>
          <t>PO-4142</t>
        </is>
      </c>
      <c r="J105">
        <f>IF(G105="","",G105-C105)</f>
        <v/>
      </c>
    </row>
    <row r="106">
      <c r="A106" t="inlineStr">
        <is>
          <t>ME-2026-09</t>
        </is>
      </c>
      <c r="B106" t="inlineStr">
        <is>
          <t>Meridian Energy</t>
        </is>
      </c>
      <c r="C106" s="1" t="n">
        <v>46178</v>
      </c>
      <c r="D106" t="n">
        <v>61500</v>
      </c>
      <c r="E106" t="inlineStr">
        <is>
          <t>Net 30</t>
        </is>
      </c>
      <c r="F106" s="1" t="n">
        <v>46208</v>
      </c>
      <c r="G106" s="1" t="n">
        <v>46208</v>
      </c>
      <c r="H106" t="inlineStr">
        <is>
          <t>Paid</t>
        </is>
      </c>
      <c r="I106" t="inlineStr">
        <is>
          <t>PO-4149</t>
        </is>
      </c>
      <c r="J106">
        <f>IF(G106="","",G106-C106)</f>
        <v/>
      </c>
    </row>
    <row r="107">
      <c r="A107" t="inlineStr">
        <is>
          <t>IT-2026-09</t>
        </is>
      </c>
      <c r="B107" t="inlineStr">
        <is>
          <t>Indigo Textiles</t>
        </is>
      </c>
      <c r="C107" s="1" t="n">
        <v>46179</v>
      </c>
      <c r="D107" t="n">
        <v>29200</v>
      </c>
      <c r="E107" t="inlineStr">
        <is>
          <t>Net 30</t>
        </is>
      </c>
      <c r="F107" s="1" t="n">
        <v>46209</v>
      </c>
      <c r="G107" s="1" t="n">
        <v>46210</v>
      </c>
      <c r="H107" t="inlineStr">
        <is>
          <t>Paid</t>
        </is>
      </c>
      <c r="I107" t="inlineStr">
        <is>
          <t>PO-4156</t>
        </is>
      </c>
      <c r="J107">
        <f>IF(G107="","",G107-C107)</f>
        <v/>
      </c>
    </row>
    <row r="108">
      <c r="A108" t="inlineStr">
        <is>
          <t>HT-2026-09</t>
        </is>
      </c>
      <c r="B108" t="inlineStr">
        <is>
          <t>Horizon Travel</t>
        </is>
      </c>
      <c r="C108" s="1" t="n">
        <v>46180</v>
      </c>
      <c r="D108" t="n">
        <v>50000</v>
      </c>
      <c r="E108" t="inlineStr">
        <is>
          <t>Net 30</t>
        </is>
      </c>
      <c r="F108" s="1" t="n">
        <v>46210</v>
      </c>
      <c r="G108" s="1" t="n">
        <v>46209</v>
      </c>
      <c r="H108" t="inlineStr">
        <is>
          <t>Paid</t>
        </is>
      </c>
      <c r="I108" t="inlineStr">
        <is>
          <t>PO-4163</t>
        </is>
      </c>
      <c r="J108">
        <f>IF(G108="","",G108-C108)</f>
        <v/>
      </c>
    </row>
    <row r="109">
      <c r="A109" t="inlineStr">
        <is>
          <t>JH-2026-09</t>
        </is>
      </c>
      <c r="B109" t="inlineStr">
        <is>
          <t>Juniper Health</t>
        </is>
      </c>
      <c r="C109" s="1" t="n">
        <v>46181</v>
      </c>
      <c r="D109" t="n">
        <v>70000</v>
      </c>
      <c r="E109" t="inlineStr">
        <is>
          <t>Net 30</t>
        </is>
      </c>
      <c r="F109" s="1" t="n">
        <v>46211</v>
      </c>
      <c r="G109" s="1" t="n">
        <v>46212</v>
      </c>
      <c r="H109" t="inlineStr">
        <is>
          <t>Paid</t>
        </is>
      </c>
      <c r="I109" t="inlineStr">
        <is>
          <t>PO-4170</t>
        </is>
      </c>
      <c r="J109">
        <f>IF(G109="","",G109-C109)</f>
        <v/>
      </c>
    </row>
    <row r="110">
      <c r="A110" t="inlineStr">
        <is>
          <t>SJ-2026-09</t>
        </is>
      </c>
      <c r="B110" t="inlineStr">
        <is>
          <t>Sapphire Jewels</t>
        </is>
      </c>
      <c r="C110" s="1" t="n">
        <v>46182</v>
      </c>
      <c r="D110" t="n">
        <v>31500</v>
      </c>
      <c r="E110" t="inlineStr">
        <is>
          <t>Net 30</t>
        </is>
      </c>
      <c r="F110" s="1" t="n">
        <v>46212</v>
      </c>
      <c r="G110" s="1" t="n">
        <v>46213</v>
      </c>
      <c r="H110" t="inlineStr">
        <is>
          <t>Paid</t>
        </is>
      </c>
      <c r="I110" t="inlineStr">
        <is>
          <t>PO-4177</t>
        </is>
      </c>
      <c r="J110">
        <f>IF(G110="","",G110-C110)</f>
        <v/>
      </c>
    </row>
    <row r="111">
      <c r="A111" t="inlineStr">
        <is>
          <t>QA-2026-10</t>
        </is>
      </c>
      <c r="B111" t="inlineStr">
        <is>
          <t>Quartz Analytics</t>
        </is>
      </c>
      <c r="C111" s="1" t="n">
        <v>46201</v>
      </c>
      <c r="D111" t="n">
        <v>60000</v>
      </c>
      <c r="E111" t="inlineStr">
        <is>
          <t>Net 30</t>
        </is>
      </c>
      <c r="F111" s="1" t="n">
        <v>46231</v>
      </c>
      <c r="G111" s="1" t="n">
        <v>46232</v>
      </c>
      <c r="H111" t="inlineStr">
        <is>
          <t>Paid</t>
        </is>
      </c>
      <c r="I111" t="inlineStr">
        <is>
          <t>PO-4100</t>
        </is>
      </c>
      <c r="J111">
        <f>IF(G111="","",G111-C111)</f>
        <v/>
      </c>
    </row>
    <row r="112">
      <c r="A112" t="inlineStr">
        <is>
          <t>CL-2026-10</t>
        </is>
      </c>
      <c r="B112" t="inlineStr">
        <is>
          <t>Cedar Logistics</t>
        </is>
      </c>
      <c r="C112" s="1" t="n">
        <v>46202</v>
      </c>
      <c r="D112" t="n">
        <v>40000</v>
      </c>
      <c r="E112" t="inlineStr">
        <is>
          <t>Net 30</t>
        </is>
      </c>
      <c r="F112" s="1" t="n">
        <v>46232</v>
      </c>
      <c r="G112" s="1" t="n"/>
      <c r="H112" t="inlineStr">
        <is>
          <t>Overdue</t>
        </is>
      </c>
      <c r="I112" t="inlineStr">
        <is>
          <t>PO-4107</t>
        </is>
      </c>
      <c r="J112">
        <f>IF(G112="","",G112-C112)</f>
        <v/>
      </c>
    </row>
    <row r="113">
      <c r="A113" t="inlineStr">
        <is>
          <t>FM-2026-10</t>
        </is>
      </c>
      <c r="B113" t="inlineStr">
        <is>
          <t>Falcon Media</t>
        </is>
      </c>
      <c r="C113" s="1" t="n">
        <v>46203</v>
      </c>
      <c r="D113" t="n">
        <v>79200</v>
      </c>
      <c r="E113" t="inlineStr">
        <is>
          <t>Net 30</t>
        </is>
      </c>
      <c r="F113" s="1" t="n">
        <v>46233</v>
      </c>
      <c r="G113" s="1" t="n">
        <v>46228</v>
      </c>
      <c r="H113" t="inlineStr">
        <is>
          <t>Paid</t>
        </is>
      </c>
      <c r="I113" t="inlineStr">
        <is>
          <t>PO-4114</t>
        </is>
      </c>
      <c r="J113">
        <f>IF(G113="","",G113-C113)</f>
        <v/>
      </c>
    </row>
    <row r="114">
      <c r="A114" t="inlineStr">
        <is>
          <t>KF-2026-10</t>
        </is>
      </c>
      <c r="B114" t="inlineStr">
        <is>
          <t>Kestrel Finance</t>
        </is>
      </c>
      <c r="C114" s="1" t="n">
        <v>46204</v>
      </c>
      <c r="D114" t="n">
        <v>70000</v>
      </c>
      <c r="E114" t="inlineStr">
        <is>
          <t>Net 30</t>
        </is>
      </c>
      <c r="F114" s="1" t="n">
        <v>46234</v>
      </c>
      <c r="G114" s="1" t="n">
        <v>46234</v>
      </c>
      <c r="H114" t="inlineStr">
        <is>
          <t>Paid</t>
        </is>
      </c>
      <c r="I114" t="inlineStr">
        <is>
          <t>PO-4121</t>
        </is>
      </c>
      <c r="J114">
        <f>IF(G114="","",G114-C114)</f>
        <v/>
      </c>
    </row>
    <row r="115">
      <c r="A115" t="inlineStr">
        <is>
          <t>GB-2026-10</t>
        </is>
      </c>
      <c r="B115" t="inlineStr">
        <is>
          <t>Granite Builders</t>
        </is>
      </c>
      <c r="C115" s="1" t="n">
        <v>46205</v>
      </c>
      <c r="D115" t="n">
        <v>50000</v>
      </c>
      <c r="E115" t="inlineStr">
        <is>
          <t>Net 30</t>
        </is>
      </c>
      <c r="F115" s="1" t="n">
        <v>46235</v>
      </c>
      <c r="G115" s="1" t="n">
        <v>46238</v>
      </c>
      <c r="H115" t="inlineStr">
        <is>
          <t>Paid</t>
        </is>
      </c>
      <c r="I115" t="inlineStr">
        <is>
          <t>PO-4128</t>
        </is>
      </c>
      <c r="J115">
        <f>IF(G115="","",G115-C115)</f>
        <v/>
      </c>
    </row>
    <row r="116">
      <c r="A116" t="inlineStr">
        <is>
          <t>NS-2026-02</t>
        </is>
      </c>
      <c r="B116" t="inlineStr">
        <is>
          <t>Nimbus Software</t>
        </is>
      </c>
      <c r="C116" s="1" t="n">
        <v>46206</v>
      </c>
      <c r="D116" t="n">
        <v>337500</v>
      </c>
      <c r="E116" t="inlineStr">
        <is>
          <t>Net 45</t>
        </is>
      </c>
      <c r="F116" s="1" t="n">
        <v>46251</v>
      </c>
      <c r="G116" s="1" t="n">
        <v>46254</v>
      </c>
      <c r="H116" t="inlineStr">
        <is>
          <t>Paid</t>
        </is>
      </c>
      <c r="I116" t="inlineStr">
        <is>
          <t>PO-4481</t>
        </is>
      </c>
      <c r="J116">
        <f>IF(G116="","",G116-C116)</f>
        <v/>
      </c>
    </row>
    <row r="117">
      <c r="A117" t="inlineStr">
        <is>
          <t>OH-2026-10</t>
        </is>
      </c>
      <c r="B117" t="inlineStr">
        <is>
          <t>Orchid Hotels</t>
        </is>
      </c>
      <c r="C117" s="1" t="n">
        <v>46206</v>
      </c>
      <c r="D117" t="n">
        <v>30000</v>
      </c>
      <c r="E117" t="inlineStr">
        <is>
          <t>Net 30</t>
        </is>
      </c>
      <c r="F117" s="1" t="n">
        <v>46236</v>
      </c>
      <c r="G117" s="1" t="n">
        <v>46239</v>
      </c>
      <c r="H117" t="inlineStr">
        <is>
          <t>Paid</t>
        </is>
      </c>
      <c r="I117" t="inlineStr">
        <is>
          <t>PO-4135</t>
        </is>
      </c>
      <c r="J117">
        <f>IF(G117="","",G117-C117)</f>
        <v/>
      </c>
    </row>
    <row r="118">
      <c r="A118" t="inlineStr">
        <is>
          <t>LE-2026-10</t>
        </is>
      </c>
      <c r="B118" t="inlineStr">
        <is>
          <t>Lotus Education</t>
        </is>
      </c>
      <c r="C118" s="1" t="n">
        <v>46207</v>
      </c>
      <c r="D118" t="n">
        <v>40000</v>
      </c>
      <c r="E118" t="inlineStr">
        <is>
          <t>Net 30</t>
        </is>
      </c>
      <c r="F118" s="1" t="n">
        <v>46237</v>
      </c>
      <c r="G118" s="1" t="n">
        <v>46237</v>
      </c>
      <c r="H118" t="inlineStr">
        <is>
          <t>Paid</t>
        </is>
      </c>
      <c r="I118" t="inlineStr">
        <is>
          <t>PO-4142</t>
        </is>
      </c>
      <c r="J118">
        <f>IF(G118="","",G118-C118)</f>
        <v/>
      </c>
    </row>
    <row r="119">
      <c r="A119" t="inlineStr">
        <is>
          <t>ME-2026-10</t>
        </is>
      </c>
      <c r="B119" t="inlineStr">
        <is>
          <t>Meridian Energy</t>
        </is>
      </c>
      <c r="C119" s="1" t="n">
        <v>46208</v>
      </c>
      <c r="D119" t="n">
        <v>60000</v>
      </c>
      <c r="E119" t="inlineStr">
        <is>
          <t>Net 30</t>
        </is>
      </c>
      <c r="F119" s="1" t="n">
        <v>46238</v>
      </c>
      <c r="G119" s="1" t="n">
        <v>46241</v>
      </c>
      <c r="H119" t="inlineStr">
        <is>
          <t>Paid</t>
        </is>
      </c>
      <c r="I119" t="inlineStr">
        <is>
          <t>PO-4149</t>
        </is>
      </c>
      <c r="J119">
        <f>IF(G119="","",G119-C119)</f>
        <v/>
      </c>
    </row>
    <row r="120">
      <c r="A120" t="inlineStr">
        <is>
          <t>IT-2026-10</t>
        </is>
      </c>
      <c r="B120" t="inlineStr">
        <is>
          <t>Indigo Textiles</t>
        </is>
      </c>
      <c r="C120" s="1" t="n">
        <v>46209</v>
      </c>
      <c r="D120" t="n">
        <v>30000</v>
      </c>
      <c r="E120" t="inlineStr">
        <is>
          <t>Net 30</t>
        </is>
      </c>
      <c r="F120" s="1" t="n">
        <v>46239</v>
      </c>
      <c r="G120" s="1" t="n">
        <v>46238</v>
      </c>
      <c r="H120" t="inlineStr">
        <is>
          <t>Paid</t>
        </is>
      </c>
      <c r="I120" t="inlineStr">
        <is>
          <t>PO-4156</t>
        </is>
      </c>
      <c r="J120">
        <f>IF(G120="","",G120-C120)</f>
        <v/>
      </c>
    </row>
    <row r="121">
      <c r="A121" t="inlineStr">
        <is>
          <t>HT-2026-10</t>
        </is>
      </c>
      <c r="B121" t="inlineStr">
        <is>
          <t>Horizon Travel</t>
        </is>
      </c>
      <c r="C121" s="1" t="n">
        <v>46210</v>
      </c>
      <c r="D121" t="n">
        <v>50000</v>
      </c>
      <c r="E121" t="inlineStr">
        <is>
          <t>Net 30</t>
        </is>
      </c>
      <c r="F121" s="1" t="n">
        <v>46240</v>
      </c>
      <c r="G121" s="1" t="n">
        <v>46243</v>
      </c>
      <c r="H121" t="inlineStr">
        <is>
          <t>Paid</t>
        </is>
      </c>
      <c r="I121" t="inlineStr">
        <is>
          <t>PO-4163</t>
        </is>
      </c>
      <c r="J121">
        <f>IF(G121="","",G121-C121)</f>
        <v/>
      </c>
    </row>
    <row r="122">
      <c r="A122" t="inlineStr">
        <is>
          <t>JH-2026-10</t>
        </is>
      </c>
      <c r="B122" t="inlineStr">
        <is>
          <t>Juniper Health</t>
        </is>
      </c>
      <c r="C122" s="1" t="n">
        <v>46211</v>
      </c>
      <c r="D122" t="n">
        <v>70000</v>
      </c>
      <c r="E122" t="inlineStr">
        <is>
          <t>Net 30</t>
        </is>
      </c>
      <c r="F122" s="1" t="n">
        <v>46241</v>
      </c>
      <c r="G122" s="1" t="n">
        <v>46239</v>
      </c>
      <c r="H122" t="inlineStr">
        <is>
          <t>Paid</t>
        </is>
      </c>
      <c r="I122" t="inlineStr">
        <is>
          <t>PO-4170</t>
        </is>
      </c>
      <c r="J122">
        <f>IF(G122="","",G122-C122)</f>
        <v/>
      </c>
    </row>
    <row r="123">
      <c r="A123" t="inlineStr">
        <is>
          <t>SJ-2026-10</t>
        </is>
      </c>
      <c r="B123" t="inlineStr">
        <is>
          <t>Sapphire Jewels</t>
        </is>
      </c>
      <c r="C123" s="1" t="n">
        <v>46212</v>
      </c>
      <c r="D123" t="n">
        <v>30000</v>
      </c>
      <c r="E123" t="inlineStr">
        <is>
          <t>Net 30</t>
        </is>
      </c>
      <c r="F123" s="1" t="n">
        <v>46242</v>
      </c>
      <c r="G123" s="1" t="n">
        <v>46243</v>
      </c>
      <c r="H123" t="inlineStr">
        <is>
          <t>Paid</t>
        </is>
      </c>
      <c r="I123" t="inlineStr">
        <is>
          <t>PO-4177</t>
        </is>
      </c>
      <c r="J123">
        <f>IF(G123="","",G123-C123)</f>
        <v/>
      </c>
    </row>
    <row r="124">
      <c r="A124" t="inlineStr">
        <is>
          <t>QA-2026-11</t>
        </is>
      </c>
      <c r="B124" t="inlineStr">
        <is>
          <t>Quartz Analytics</t>
        </is>
      </c>
      <c r="C124" s="1" t="n">
        <v>46231</v>
      </c>
      <c r="D124" t="n">
        <v>60000</v>
      </c>
      <c r="E124" t="inlineStr">
        <is>
          <t>Net 30</t>
        </is>
      </c>
      <c r="F124" s="1" t="n">
        <v>46261</v>
      </c>
      <c r="G124" s="1" t="n"/>
      <c r="H124" t="inlineStr">
        <is>
          <t>Overdue</t>
        </is>
      </c>
      <c r="I124" t="inlineStr">
        <is>
          <t>PO-4100</t>
        </is>
      </c>
      <c r="J124">
        <f>IF(G124="","",G124-C124)</f>
        <v/>
      </c>
    </row>
    <row r="125">
      <c r="A125" t="inlineStr">
        <is>
          <t>CL-2026-11</t>
        </is>
      </c>
      <c r="B125" t="inlineStr">
        <is>
          <t>Cedar Logistics</t>
        </is>
      </c>
      <c r="C125" s="1" t="n">
        <v>46232</v>
      </c>
      <c r="D125" t="n">
        <v>40000</v>
      </c>
      <c r="E125" t="inlineStr">
        <is>
          <t>Net 30</t>
        </is>
      </c>
      <c r="F125" s="1" t="n">
        <v>46262</v>
      </c>
      <c r="G125" s="1" t="n">
        <v>46261</v>
      </c>
      <c r="H125" t="inlineStr">
        <is>
          <t>Paid</t>
        </is>
      </c>
      <c r="I125" t="inlineStr">
        <is>
          <t>PO-4107</t>
        </is>
      </c>
      <c r="J125">
        <f>IF(G125="","",G125-C125)</f>
        <v/>
      </c>
    </row>
    <row r="126">
      <c r="A126" t="inlineStr">
        <is>
          <t>FM-2026-11</t>
        </is>
      </c>
      <c r="B126" t="inlineStr">
        <is>
          <t>Falcon Media</t>
        </is>
      </c>
      <c r="C126" s="1" t="n">
        <v>46233</v>
      </c>
      <c r="D126" t="n">
        <v>80000</v>
      </c>
      <c r="E126" t="inlineStr">
        <is>
          <t>Net 30</t>
        </is>
      </c>
      <c r="F126" s="1" t="n">
        <v>46263</v>
      </c>
      <c r="G126" s="1" t="n">
        <v>46266</v>
      </c>
      <c r="H126" t="inlineStr">
        <is>
          <t>Paid</t>
        </is>
      </c>
      <c r="I126" t="inlineStr">
        <is>
          <t>PO-4114</t>
        </is>
      </c>
      <c r="J126">
        <f>IF(G126="","",G126-C126)</f>
        <v/>
      </c>
    </row>
    <row r="127">
      <c r="A127" t="inlineStr">
        <is>
          <t>KF-2026-11</t>
        </is>
      </c>
      <c r="B127" t="inlineStr">
        <is>
          <t>Kestrel Finance</t>
        </is>
      </c>
      <c r="C127" s="1" t="n">
        <v>46234</v>
      </c>
      <c r="D127" t="n">
        <v>69200</v>
      </c>
      <c r="E127" t="inlineStr">
        <is>
          <t>Net 30</t>
        </is>
      </c>
      <c r="F127" s="1" t="n">
        <v>46264</v>
      </c>
      <c r="G127" s="1" t="n">
        <v>46264</v>
      </c>
      <c r="H127" t="inlineStr">
        <is>
          <t>Paid</t>
        </is>
      </c>
      <c r="I127" t="inlineStr">
        <is>
          <t>PO-4121</t>
        </is>
      </c>
      <c r="J127">
        <f>IF(G127="","",G127-C127)</f>
        <v/>
      </c>
    </row>
    <row r="128">
      <c r="A128" t="inlineStr">
        <is>
          <t>GB-2026-11</t>
        </is>
      </c>
      <c r="B128" t="inlineStr">
        <is>
          <t>Granite Builders</t>
        </is>
      </c>
      <c r="C128" s="1" t="n">
        <v>46235</v>
      </c>
      <c r="D128" t="n">
        <v>50000</v>
      </c>
      <c r="E128" t="inlineStr">
        <is>
          <t>Net 30</t>
        </is>
      </c>
      <c r="F128" s="1" t="n">
        <v>46265</v>
      </c>
      <c r="G128" s="1" t="n">
        <v>46264</v>
      </c>
      <c r="H128" t="inlineStr">
        <is>
          <t>Paid</t>
        </is>
      </c>
      <c r="I128" t="inlineStr">
        <is>
          <t>PO-4128</t>
        </is>
      </c>
      <c r="J128">
        <f>IF(G128="","",G128-C128)</f>
        <v/>
      </c>
    </row>
    <row r="129">
      <c r="A129" t="inlineStr">
        <is>
          <t>OH-2026-11</t>
        </is>
      </c>
      <c r="B129" t="inlineStr">
        <is>
          <t>Orchid Hotels</t>
        </is>
      </c>
      <c r="C129" s="1" t="n">
        <v>46236</v>
      </c>
      <c r="D129" t="n">
        <v>30000</v>
      </c>
      <c r="E129" t="inlineStr">
        <is>
          <t>Net 30</t>
        </is>
      </c>
      <c r="F129" s="1" t="n">
        <v>46266</v>
      </c>
      <c r="G129" s="1" t="n">
        <v>46266</v>
      </c>
      <c r="H129" t="inlineStr">
        <is>
          <t>Paid</t>
        </is>
      </c>
      <c r="I129" t="inlineStr">
        <is>
          <t>PO-4135</t>
        </is>
      </c>
      <c r="J129">
        <f>IF(G129="","",G129-C129)</f>
        <v/>
      </c>
    </row>
    <row r="130">
      <c r="A130" t="inlineStr">
        <is>
          <t>LE-2026-11</t>
        </is>
      </c>
      <c r="B130" t="inlineStr">
        <is>
          <t>Lotus Education</t>
        </is>
      </c>
      <c r="C130" s="1" t="n">
        <v>46237</v>
      </c>
      <c r="D130" t="n">
        <v>40000</v>
      </c>
      <c r="E130" t="inlineStr">
        <is>
          <t>Net 30</t>
        </is>
      </c>
      <c r="F130" s="1" t="n">
        <v>46267</v>
      </c>
      <c r="G130" s="1" t="n">
        <v>46265</v>
      </c>
      <c r="H130" t="inlineStr">
        <is>
          <t>Paid</t>
        </is>
      </c>
      <c r="I130" t="inlineStr">
        <is>
          <t>PO-4142</t>
        </is>
      </c>
      <c r="J130">
        <f>IF(G130="","",G130-C130)</f>
        <v/>
      </c>
    </row>
    <row r="131">
      <c r="A131" t="inlineStr">
        <is>
          <t>ME-2026-11</t>
        </is>
      </c>
      <c r="B131" t="inlineStr">
        <is>
          <t>Meridian Energy</t>
        </is>
      </c>
      <c r="C131" s="1" t="n">
        <v>46238</v>
      </c>
      <c r="D131" t="n">
        <v>60000</v>
      </c>
      <c r="E131" t="inlineStr">
        <is>
          <t>Net 30</t>
        </is>
      </c>
      <c r="F131" s="1" t="n">
        <v>46268</v>
      </c>
      <c r="G131" s="1" t="n">
        <v>46268</v>
      </c>
      <c r="H131" t="inlineStr">
        <is>
          <t>Paid</t>
        </is>
      </c>
      <c r="I131" t="inlineStr">
        <is>
          <t>PO-4149</t>
        </is>
      </c>
      <c r="J131">
        <f>IF(G131="","",G131-C131)</f>
        <v/>
      </c>
    </row>
    <row r="132">
      <c r="A132" t="inlineStr">
        <is>
          <t>IT-2026-11</t>
        </is>
      </c>
      <c r="B132" t="inlineStr">
        <is>
          <t>Indigo Textiles</t>
        </is>
      </c>
      <c r="C132" s="1" t="n">
        <v>46239</v>
      </c>
      <c r="D132" t="n">
        <v>29200</v>
      </c>
      <c r="E132" t="inlineStr">
        <is>
          <t>Net 30</t>
        </is>
      </c>
      <c r="F132" s="1" t="n">
        <v>46269</v>
      </c>
      <c r="G132" s="1" t="n">
        <v>46268</v>
      </c>
      <c r="H132" t="inlineStr">
        <is>
          <t>Paid</t>
        </is>
      </c>
      <c r="I132" t="inlineStr">
        <is>
          <t>PO-4156</t>
        </is>
      </c>
      <c r="J132">
        <f>IF(G132="","",G132-C132)</f>
        <v/>
      </c>
    </row>
    <row r="133">
      <c r="A133" t="inlineStr">
        <is>
          <t>HT-2026-11</t>
        </is>
      </c>
      <c r="B133" t="inlineStr">
        <is>
          <t>Horizon Travel</t>
        </is>
      </c>
      <c r="C133" s="1" t="n">
        <v>46240</v>
      </c>
      <c r="D133" t="n">
        <v>50000</v>
      </c>
      <c r="E133" t="inlineStr">
        <is>
          <t>Net 30</t>
        </is>
      </c>
      <c r="F133" s="1" t="n">
        <v>46270</v>
      </c>
      <c r="G133" s="1" t="n">
        <v>46270</v>
      </c>
      <c r="H133" t="inlineStr">
        <is>
          <t>Paid</t>
        </is>
      </c>
      <c r="I133" t="inlineStr">
        <is>
          <t>PO-4163</t>
        </is>
      </c>
      <c r="J133">
        <f>IF(G133="","",G133-C133)</f>
        <v/>
      </c>
    </row>
    <row r="134">
      <c r="A134" t="inlineStr">
        <is>
          <t>JH-2026-11</t>
        </is>
      </c>
      <c r="B134" t="inlineStr">
        <is>
          <t>Juniper Health</t>
        </is>
      </c>
      <c r="C134" s="1" t="n">
        <v>46241</v>
      </c>
      <c r="D134" t="n">
        <v>70000</v>
      </c>
      <c r="E134" t="inlineStr">
        <is>
          <t>Net 30</t>
        </is>
      </c>
      <c r="F134" s="1" t="n">
        <v>46271</v>
      </c>
      <c r="G134" s="1" t="n">
        <v>46271</v>
      </c>
      <c r="H134" t="inlineStr">
        <is>
          <t>Paid</t>
        </is>
      </c>
      <c r="I134" t="inlineStr">
        <is>
          <t>PO-4170</t>
        </is>
      </c>
      <c r="J134">
        <f>IF(G134="","",G134-C134)</f>
        <v/>
      </c>
    </row>
    <row r="135">
      <c r="A135" t="inlineStr">
        <is>
          <t>SJ-2026-11</t>
        </is>
      </c>
      <c r="B135" t="inlineStr">
        <is>
          <t>Sapphire Jewels</t>
        </is>
      </c>
      <c r="C135" s="1" t="n">
        <v>46242</v>
      </c>
      <c r="D135" t="n">
        <v>30000</v>
      </c>
      <c r="E135" t="inlineStr">
        <is>
          <t>Net 30</t>
        </is>
      </c>
      <c r="F135" s="1" t="n">
        <v>46272</v>
      </c>
      <c r="G135" s="1" t="n"/>
      <c r="H135" t="inlineStr">
        <is>
          <t>Overdue</t>
        </is>
      </c>
      <c r="I135" t="inlineStr">
        <is>
          <t>PO-4177</t>
        </is>
      </c>
      <c r="J135">
        <f>IF(G135="","",G135-C135)</f>
        <v/>
      </c>
    </row>
    <row r="136">
      <c r="A136" t="inlineStr">
        <is>
          <t>QA-2026-12</t>
        </is>
      </c>
      <c r="B136" t="inlineStr">
        <is>
          <t>Quartz Analytics</t>
        </is>
      </c>
      <c r="C136" s="1" t="n">
        <v>46261</v>
      </c>
      <c r="D136" t="n">
        <v>60000</v>
      </c>
      <c r="E136" t="inlineStr">
        <is>
          <t>Net 30</t>
        </is>
      </c>
      <c r="F136" s="1" t="n">
        <v>46291</v>
      </c>
      <c r="G136" s="1" t="n"/>
      <c r="H136" t="inlineStr">
        <is>
          <t>Open</t>
        </is>
      </c>
      <c r="I136" t="inlineStr">
        <is>
          <t>PO-4100</t>
        </is>
      </c>
      <c r="J136">
        <f>IF(G136="","",G136-C136)</f>
        <v/>
      </c>
    </row>
    <row r="137">
      <c r="A137" t="inlineStr">
        <is>
          <t>CL-2026-12</t>
        </is>
      </c>
      <c r="B137" t="inlineStr">
        <is>
          <t>Cedar Logistics</t>
        </is>
      </c>
      <c r="C137" s="1" t="n">
        <v>46262</v>
      </c>
      <c r="D137" t="n">
        <v>39200</v>
      </c>
      <c r="E137" t="inlineStr">
        <is>
          <t>Net 30</t>
        </is>
      </c>
      <c r="F137" s="1" t="n">
        <v>46292</v>
      </c>
      <c r="G137" s="1" t="n"/>
      <c r="H137" t="inlineStr">
        <is>
          <t>Open</t>
        </is>
      </c>
      <c r="I137" t="inlineStr">
        <is>
          <t>PO-4107</t>
        </is>
      </c>
      <c r="J137">
        <f>IF(G137="","",G137-C137)</f>
        <v/>
      </c>
    </row>
    <row r="138">
      <c r="A138" t="inlineStr">
        <is>
          <t>FM-2026-12</t>
        </is>
      </c>
      <c r="B138" t="inlineStr">
        <is>
          <t>Falcon Media</t>
        </is>
      </c>
      <c r="C138" s="1" t="n">
        <v>46263</v>
      </c>
      <c r="D138" t="n">
        <v>80000</v>
      </c>
      <c r="E138" t="inlineStr">
        <is>
          <t>Net 30</t>
        </is>
      </c>
      <c r="F138" s="1" t="n">
        <v>46293</v>
      </c>
      <c r="G138" s="1" t="n"/>
      <c r="H138" t="inlineStr">
        <is>
          <t>Open</t>
        </is>
      </c>
      <c r="I138" t="inlineStr">
        <is>
          <t>PO-4114</t>
        </is>
      </c>
      <c r="J138">
        <f>IF(G138="","",G138-C138)</f>
        <v/>
      </c>
    </row>
    <row r="139">
      <c r="A139" t="inlineStr">
        <is>
          <t>KF-2026-12</t>
        </is>
      </c>
      <c r="B139" t="inlineStr">
        <is>
          <t>Kestrel Finance</t>
        </is>
      </c>
      <c r="C139" s="1" t="n">
        <v>46264</v>
      </c>
      <c r="D139" t="n">
        <v>70000</v>
      </c>
      <c r="E139" t="inlineStr">
        <is>
          <t>Net 30</t>
        </is>
      </c>
      <c r="F139" s="1" t="n">
        <v>46294</v>
      </c>
      <c r="G139" s="1" t="n"/>
      <c r="H139" t="inlineStr">
        <is>
          <t>Open</t>
        </is>
      </c>
      <c r="I139" t="inlineStr">
        <is>
          <t>PO-4121</t>
        </is>
      </c>
      <c r="J139">
        <f>IF(G139="","",G139-C139)</f>
        <v/>
      </c>
    </row>
    <row r="140">
      <c r="A140" t="inlineStr">
        <is>
          <t>GB-2026-12</t>
        </is>
      </c>
      <c r="B140" t="inlineStr">
        <is>
          <t>Granite Builders</t>
        </is>
      </c>
      <c r="C140" s="1" t="n">
        <v>46265</v>
      </c>
      <c r="D140" t="n">
        <v>51500</v>
      </c>
      <c r="E140" t="inlineStr">
        <is>
          <t>Net 30</t>
        </is>
      </c>
      <c r="F140" s="1" t="n">
        <v>46295</v>
      </c>
      <c r="G140" s="1" t="n"/>
      <c r="H140" t="inlineStr">
        <is>
          <t>Open</t>
        </is>
      </c>
      <c r="I140" t="inlineStr">
        <is>
          <t>PO-4128</t>
        </is>
      </c>
      <c r="J140">
        <f>IF(G140="","",G140-C140)</f>
        <v/>
      </c>
    </row>
    <row r="141">
      <c r="A141" t="inlineStr">
        <is>
          <t>OH-2026-12</t>
        </is>
      </c>
      <c r="B141" t="inlineStr">
        <is>
          <t>Orchid Hotels</t>
        </is>
      </c>
      <c r="C141" s="1" t="n">
        <v>46266</v>
      </c>
      <c r="D141" t="n">
        <v>30000</v>
      </c>
      <c r="E141" t="inlineStr">
        <is>
          <t>Net 30</t>
        </is>
      </c>
      <c r="F141" s="1" t="n">
        <v>46296</v>
      </c>
      <c r="G141" s="1" t="n"/>
      <c r="H141" t="inlineStr">
        <is>
          <t>Open</t>
        </is>
      </c>
      <c r="I141" t="inlineStr">
        <is>
          <t>PO-4135</t>
        </is>
      </c>
      <c r="J141">
        <f>IF(G141="","",G141-C141)</f>
        <v/>
      </c>
    </row>
    <row r="142">
      <c r="A142" t="inlineStr">
        <is>
          <t>LE-2026-12</t>
        </is>
      </c>
      <c r="B142" t="inlineStr">
        <is>
          <t>Lotus Education</t>
        </is>
      </c>
      <c r="C142" s="1" t="n">
        <v>46267</v>
      </c>
      <c r="D142" t="n">
        <v>39200</v>
      </c>
      <c r="E142" t="inlineStr">
        <is>
          <t>Net 30</t>
        </is>
      </c>
      <c r="F142" s="1" t="n">
        <v>46297</v>
      </c>
      <c r="G142" s="1" t="n"/>
      <c r="H142" t="inlineStr">
        <is>
          <t>Open</t>
        </is>
      </c>
      <c r="I142" t="inlineStr">
        <is>
          <t>PO-4142</t>
        </is>
      </c>
      <c r="J142">
        <f>IF(G142="","",G142-C142)</f>
        <v/>
      </c>
    </row>
    <row r="143">
      <c r="A143" t="inlineStr">
        <is>
          <t>ME-2026-12</t>
        </is>
      </c>
      <c r="B143" t="inlineStr">
        <is>
          <t>Meridian Energy</t>
        </is>
      </c>
      <c r="C143" s="1" t="n">
        <v>46268</v>
      </c>
      <c r="D143" t="n">
        <v>60000</v>
      </c>
      <c r="E143" t="inlineStr">
        <is>
          <t>Net 30</t>
        </is>
      </c>
      <c r="F143" s="1" t="n">
        <v>46298</v>
      </c>
      <c r="G143" s="1" t="n"/>
      <c r="H143" t="inlineStr">
        <is>
          <t>Open</t>
        </is>
      </c>
      <c r="I143" t="inlineStr">
        <is>
          <t>PO-4149</t>
        </is>
      </c>
      <c r="J143">
        <f>IF(G143="","",G143-C143)</f>
        <v/>
      </c>
    </row>
    <row r="144">
      <c r="A144" t="inlineStr">
        <is>
          <t>IT-2026-12</t>
        </is>
      </c>
      <c r="B144" t="inlineStr">
        <is>
          <t>Indigo Textiles</t>
        </is>
      </c>
      <c r="C144" s="1" t="n">
        <v>46269</v>
      </c>
      <c r="D144" t="n">
        <v>30000</v>
      </c>
      <c r="E144" t="inlineStr">
        <is>
          <t>Net 30</t>
        </is>
      </c>
      <c r="F144" s="1" t="n">
        <v>46299</v>
      </c>
      <c r="G144" s="1" t="n"/>
      <c r="H144" t="inlineStr">
        <is>
          <t>Open</t>
        </is>
      </c>
      <c r="I144" t="inlineStr">
        <is>
          <t>PO-4156</t>
        </is>
      </c>
      <c r="J144">
        <f>IF(G144="","",G144-C144)</f>
        <v/>
      </c>
    </row>
    <row r="145">
      <c r="A145" t="inlineStr">
        <is>
          <t>HT-2026-12</t>
        </is>
      </c>
      <c r="B145" t="inlineStr">
        <is>
          <t>Horizon Travel</t>
        </is>
      </c>
      <c r="C145" s="1" t="n">
        <v>46270</v>
      </c>
      <c r="D145" t="n">
        <v>49200</v>
      </c>
      <c r="E145" t="inlineStr">
        <is>
          <t>Net 30</t>
        </is>
      </c>
      <c r="F145" s="1" t="n">
        <v>46300</v>
      </c>
      <c r="G145" s="1" t="n"/>
      <c r="H145" t="inlineStr">
        <is>
          <t>Open</t>
        </is>
      </c>
      <c r="I145" t="inlineStr">
        <is>
          <t>PO-4163</t>
        </is>
      </c>
      <c r="J145">
        <f>IF(G145="","",G145-C145)</f>
        <v/>
      </c>
    </row>
    <row r="146">
      <c r="A146" t="inlineStr">
        <is>
          <t>JH-2026-12</t>
        </is>
      </c>
      <c r="B146" t="inlineStr">
        <is>
          <t>Juniper Health</t>
        </is>
      </c>
      <c r="C146" s="1" t="n">
        <v>46271</v>
      </c>
      <c r="D146" t="n">
        <v>70000</v>
      </c>
      <c r="E146" t="inlineStr">
        <is>
          <t>Net 30</t>
        </is>
      </c>
      <c r="F146" s="1" t="n">
        <v>46301</v>
      </c>
      <c r="G146" s="1" t="n"/>
      <c r="H146" t="inlineStr">
        <is>
          <t>Open</t>
        </is>
      </c>
      <c r="I146" t="inlineStr">
        <is>
          <t>PO-4170</t>
        </is>
      </c>
      <c r="J146">
        <f>IF(G146="","",G146-C146)</f>
        <v/>
      </c>
    </row>
    <row r="147">
      <c r="A147" t="inlineStr">
        <is>
          <t>SJ-2026-12</t>
        </is>
      </c>
      <c r="B147" t="inlineStr">
        <is>
          <t>Sapphire Jewels</t>
        </is>
      </c>
      <c r="C147" s="1" t="n">
        <v>46272</v>
      </c>
      <c r="D147" t="n">
        <v>30000</v>
      </c>
      <c r="E147" t="inlineStr">
        <is>
          <t>Net 30</t>
        </is>
      </c>
      <c r="F147" s="1" t="n">
        <v>46302</v>
      </c>
      <c r="G147" s="1" t="n"/>
      <c r="H147" t="inlineStr">
        <is>
          <t>Open</t>
        </is>
      </c>
      <c r="I147" t="inlineStr">
        <is>
          <t>PO-4177</t>
        </is>
      </c>
      <c r="J147">
        <f>IF(G147="","",G147-C147)</f>
        <v/>
      </c>
    </row>
    <row r="148">
      <c r="A148" t="inlineStr">
        <is>
          <t>NS-2026-03</t>
        </is>
      </c>
      <c r="B148" t="inlineStr">
        <is>
          <t>Nimbus Software</t>
        </is>
      </c>
      <c r="C148" s="1" t="n">
        <v>46275</v>
      </c>
      <c r="D148" t="n">
        <v>337500</v>
      </c>
      <c r="E148" t="inlineStr">
        <is>
          <t>Net 45</t>
        </is>
      </c>
      <c r="F148" s="1" t="n">
        <v>46320</v>
      </c>
      <c r="G148" s="1" t="n"/>
      <c r="H148" t="inlineStr">
        <is>
          <t>Open</t>
        </is>
      </c>
      <c r="I148" t="inlineStr">
        <is>
          <t>PO-4481</t>
        </is>
      </c>
      <c r="J148">
        <f>IF(G148="","",G148-C148)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Total Invoiced (INR)</t>
        </is>
      </c>
      <c r="C1" t="inlineStr">
        <is>
          <t>Open Amount (INR)</t>
        </is>
      </c>
      <c r="D1" t="inlineStr">
        <is>
          <t>Invoices</t>
        </is>
      </c>
    </row>
    <row r="2">
      <c r="A2" t="inlineStr">
        <is>
          <t>Nimbus Software</t>
        </is>
      </c>
      <c r="B2">
        <f>SUMIF(Invoices!B:B,A2,Invoices!D:D)</f>
        <v/>
      </c>
      <c r="C2">
        <f>SUMIFS(Invoices!D:D,Invoices!B:B,A2,Invoices!H:H,"Open")</f>
        <v/>
      </c>
      <c r="D2">
        <f>COUNTIF(Invoices!B:B,A2)</f>
        <v/>
      </c>
    </row>
    <row r="3">
      <c r="A3" t="inlineStr">
        <is>
          <t>Quartz Analytics</t>
        </is>
      </c>
      <c r="B3">
        <f>SUMIF(Invoices!B:B,A3,Invoices!D:D)</f>
        <v/>
      </c>
      <c r="C3">
        <f>SUMIFS(Invoices!D:D,Invoices!B:B,A3,Invoices!H:H,"Open")</f>
        <v/>
      </c>
      <c r="D3">
        <f>COUNTIF(Invoices!B:B,A3)</f>
        <v/>
      </c>
    </row>
    <row r="4">
      <c r="A4" t="inlineStr">
        <is>
          <t>Cedar Logistics</t>
        </is>
      </c>
      <c r="B4">
        <f>SUMIF(Invoices!B:B,A4,Invoices!D:D)</f>
        <v/>
      </c>
      <c r="C4">
        <f>SUMIFS(Invoices!D:D,Invoices!B:B,A4,Invoices!H:H,"Open")</f>
        <v/>
      </c>
      <c r="D4">
        <f>COUNTIF(Invoices!B:B,A4)</f>
        <v/>
      </c>
    </row>
    <row r="5">
      <c r="A5" t="inlineStr">
        <is>
          <t>Falcon Media</t>
        </is>
      </c>
      <c r="B5">
        <f>SUMIF(Invoices!B:B,A5,Invoices!D:D)</f>
        <v/>
      </c>
      <c r="C5">
        <f>SUMIFS(Invoices!D:D,Invoices!B:B,A5,Invoices!H:H,"Open")</f>
        <v/>
      </c>
      <c r="D5">
        <f>COUNTIF(Invoices!B:B,A5)</f>
        <v/>
      </c>
    </row>
    <row r="6">
      <c r="A6" t="inlineStr">
        <is>
          <t>Kestrel Finance</t>
        </is>
      </c>
      <c r="B6">
        <f>SUMIF(Invoices!B:B,A6,Invoices!D:D)</f>
        <v/>
      </c>
      <c r="C6">
        <f>SUMIFS(Invoices!D:D,Invoices!B:B,A6,Invoices!H:H,"Open")</f>
        <v/>
      </c>
      <c r="D6">
        <f>COUNTIF(Invoices!B:B,A6)</f>
        <v/>
      </c>
    </row>
    <row r="7">
      <c r="A7" t="inlineStr">
        <is>
          <t>Granite Builders</t>
        </is>
      </c>
      <c r="B7">
        <f>SUMIF(Invoices!B:B,A7,Invoices!D:D)</f>
        <v/>
      </c>
      <c r="C7">
        <f>SUMIFS(Invoices!D:D,Invoices!B:B,A7,Invoices!H:H,"Open")</f>
        <v/>
      </c>
      <c r="D7">
        <f>COUNTIF(Invoices!B:B,A7)</f>
        <v/>
      </c>
    </row>
    <row r="8">
      <c r="A8" t="inlineStr">
        <is>
          <t>Orchid Hotels</t>
        </is>
      </c>
      <c r="B8">
        <f>SUMIF(Invoices!B:B,A8,Invoices!D:D)</f>
        <v/>
      </c>
      <c r="C8">
        <f>SUMIFS(Invoices!D:D,Invoices!B:B,A8,Invoices!H:H,"Open")</f>
        <v/>
      </c>
      <c r="D8">
        <f>COUNTIF(Invoices!B:B,A8)</f>
        <v/>
      </c>
    </row>
    <row r="9">
      <c r="A9" t="inlineStr">
        <is>
          <t>Lotus Education</t>
        </is>
      </c>
      <c r="B9">
        <f>SUMIF(Invoices!B:B,A9,Invoices!D:D)</f>
        <v/>
      </c>
      <c r="C9">
        <f>SUMIFS(Invoices!D:D,Invoices!B:B,A9,Invoices!H:H,"Open")</f>
        <v/>
      </c>
      <c r="D9">
        <f>COUNTIF(Invoices!B:B,A9)</f>
        <v/>
      </c>
    </row>
    <row r="10">
      <c r="A10" t="inlineStr">
        <is>
          <t>Meridian Energy</t>
        </is>
      </c>
      <c r="B10">
        <f>SUMIF(Invoices!B:B,A10,Invoices!D:D)</f>
        <v/>
      </c>
      <c r="C10">
        <f>SUMIFS(Invoices!D:D,Invoices!B:B,A10,Invoices!H:H,"Open")</f>
        <v/>
      </c>
      <c r="D10">
        <f>COUNTIF(Invoices!B:B,A10)</f>
        <v/>
      </c>
    </row>
    <row r="11">
      <c r="A11" t="inlineStr">
        <is>
          <t>Indigo Textiles</t>
        </is>
      </c>
      <c r="B11">
        <f>SUMIF(Invoices!B:B,A11,Invoices!D:D)</f>
        <v/>
      </c>
      <c r="C11">
        <f>SUMIFS(Invoices!D:D,Invoices!B:B,A11,Invoices!H:H,"Open")</f>
        <v/>
      </c>
      <c r="D11">
        <f>COUNTIF(Invoices!B:B,A11)</f>
        <v/>
      </c>
    </row>
    <row r="12">
      <c r="A12" t="inlineStr">
        <is>
          <t>Horizon Travel</t>
        </is>
      </c>
      <c r="B12">
        <f>SUMIF(Invoices!B:B,A12,Invoices!D:D)</f>
        <v/>
      </c>
      <c r="C12">
        <f>SUMIFS(Invoices!D:D,Invoices!B:B,A12,Invoices!H:H,"Open")</f>
        <v/>
      </c>
      <c r="D12">
        <f>COUNTIF(Invoices!B:B,A12)</f>
        <v/>
      </c>
    </row>
    <row r="13">
      <c r="A13" t="inlineStr">
        <is>
          <t>Juniper Health</t>
        </is>
      </c>
      <c r="B13">
        <f>SUMIF(Invoices!B:B,A13,Invoices!D:D)</f>
        <v/>
      </c>
      <c r="C13">
        <f>SUMIFS(Invoices!D:D,Invoices!B:B,A13,Invoices!H:H,"Open")</f>
        <v/>
      </c>
      <c r="D13">
        <f>COUNTIF(Invoices!B:B,A13)</f>
        <v/>
      </c>
    </row>
    <row r="14">
      <c r="A14" t="inlineStr">
        <is>
          <t>Sapphire Jewels</t>
        </is>
      </c>
      <c r="B14">
        <f>SUMIF(Invoices!B:B,A14,Invoices!D:D)</f>
        <v/>
      </c>
      <c r="C14">
        <f>SUMIFS(Invoices!D:D,Invoices!B:B,A14,Invoices!H:H,"Open")</f>
        <v/>
      </c>
      <c r="D14">
        <f>COUNTIF(Invoices!B:B,A14)</f>
        <v/>
      </c>
    </row>
    <row r="15">
      <c r="A15" t="inlineStr">
        <is>
          <t>TOTAL</t>
        </is>
      </c>
      <c r="B15">
        <f>SUM(B2:B14)</f>
        <v/>
      </c>
      <c r="C15">
        <f>SUM(C2:C14)</f>
        <v/>
      </c>
      <c r="D15">
        <f>SUM(D2:D14)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</t>
        </is>
      </c>
      <c r="B1" t="inlineStr">
        <is>
          <t>Vendor</t>
        </is>
      </c>
      <c r="C1" t="inlineStr">
        <is>
          <t>Note</t>
        </is>
      </c>
      <c r="D1" t="inlineStr">
        <is>
          <t>Amount (INR)</t>
        </is>
      </c>
    </row>
    <row r="2">
      <c r="A2" t="inlineStr">
        <is>
          <t>ADJ-01</t>
        </is>
      </c>
      <c r="B2" t="inlineStr">
        <is>
          <t>Nimbus Software</t>
        </is>
      </c>
      <c r="C2" t="inlineStr">
        <is>
          <t>Q2 invoice NS-2026-02 uplifted 12.5% for 'additional licences' - no change order on file</t>
        </is>
      </c>
      <c r="D2" t="n">
        <v>37500</v>
      </c>
    </row>
    <row r="3">
      <c r="A3" t="inlineStr">
        <is>
          <t>ADJ-02</t>
        </is>
      </c>
      <c r="B3" t="inlineStr">
        <is>
          <t>Nimbus Software</t>
        </is>
      </c>
      <c r="C3" t="inlineStr">
        <is>
          <t>Late-payment interest waived per verbal agreement with vendor; 2% penalty clause not applied</t>
        </is>
      </c>
      <c r="D3" t="n">
        <v>0</v>
      </c>
    </row>
    <row r="4">
      <c r="A4" t="inlineStr">
        <is>
          <t>ADJ-03</t>
        </is>
      </c>
      <c r="B4" t="inlineStr">
        <is>
          <t>Falcon Media</t>
        </is>
      </c>
      <c r="C4" t="inlineStr">
        <is>
          <t>Disputed - awaiting credit note</t>
        </is>
      </c>
      <c r="D4" t="n">
        <v>-80000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2026-09-19T12:45:36Z</dcterms:created>
  <dcterms:modified xmlns:dcterms="http://purl.org/dc/terms/" xmlns:xsi="http://www.w3.org/2001/XMLSchema-instance" xsi:type="dcterms:W3CDTF">2026-09-19T12:45:36Z</dcterms:modified>
</cp:coreProperties>
</file>